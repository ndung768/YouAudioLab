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hoangduy/youaudiolab/"/>
    </mc:Choice>
  </mc:AlternateContent>
  <xr:revisionPtr revIDLastSave="0" documentId="13_ncr:1_{D4E581B2-9F40-5A4E-A0F9-C16EF305833B}" xr6:coauthVersionLast="47" xr6:coauthVersionMax="47" xr10:uidLastSave="{00000000-0000-0000-0000-000000000000}"/>
  <bookViews>
    <workbookView xWindow="4440" yWindow="1880" windowWidth="28040" windowHeight="17180" activeTab="3" xr2:uid="{05FE738F-8AD3-354C-A5D4-85E23584D0C6}"/>
  </bookViews>
  <sheets>
    <sheet name="VideoSources" sheetId="1" r:id="rId1"/>
    <sheet name="SystemOriginalDataset" sheetId="3" r:id="rId2"/>
    <sheet name="Human-Reviewed" sheetId="5" r:id="rId3"/>
    <sheet name="Calculation" sheetId="2" r:id="rId4"/>
  </sheets>
  <definedNames>
    <definedName name="ExternalData_1" localSheetId="2" hidden="1">'Human-Reviewed'!$A$1:$Q$61</definedName>
    <definedName name="ExternalData_1" localSheetId="1" hidden="1">SystemOriginalDataset!$A$1:$Q$61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 l="1"/>
  <c r="B27" i="2"/>
  <c r="B20" i="2"/>
  <c r="B26" i="2"/>
  <c r="B19" i="2"/>
  <c r="B12" i="2"/>
  <c r="L3" i="2"/>
  <c r="M3" i="2"/>
  <c r="L4" i="2"/>
  <c r="M4" i="2"/>
  <c r="L5" i="2"/>
  <c r="M5" i="2"/>
  <c r="L6" i="2"/>
  <c r="M6" i="2"/>
  <c r="L7" i="2"/>
  <c r="M7" i="2"/>
  <c r="L8" i="2"/>
  <c r="M8" i="2"/>
  <c r="L9" i="2"/>
  <c r="M9" i="2"/>
  <c r="L10" i="2"/>
  <c r="M10" i="2"/>
  <c r="L11" i="2"/>
  <c r="M11" i="2"/>
  <c r="L12" i="2"/>
  <c r="M12" i="2"/>
  <c r="M2" i="2"/>
  <c r="L2" i="2"/>
  <c r="N2" i="2" s="1"/>
  <c r="B4" i="2"/>
  <c r="N5" i="2" l="1"/>
  <c r="N10" i="2"/>
  <c r="N6" i="2"/>
  <c r="N4" i="2"/>
  <c r="N7" i="2"/>
  <c r="N9" i="2"/>
  <c r="N8" i="2"/>
  <c r="N3" i="2"/>
  <c r="N12" i="2"/>
  <c r="N11" i="2"/>
  <c r="N14" i="2" l="1"/>
  <c r="B5" i="2" s="1"/>
  <c r="B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BA884-3991-FA43-BEBE-05894FAF7CF8}" keepAlive="1" name="Query - Speech Emotion-csv_segments (2)" description="Connection to the 'Speech Emotion-csv_segments (2)' query in the workbook." type="5" refreshedVersion="8" background="1" saveData="1">
    <dbPr connection="Provider=Microsoft.Mashup.OleDb.1;Data Source=$Workbook$;Location=&quot;Speech Emotion-csv_segments (2)&quot;;Extended Properties=&quot;&quot;" command="SELECT * FROM [Speech Emotion-csv_segments (2)]"/>
  </connection>
  <connection id="2" xr16:uid="{661F4344-EA66-F94F-B65C-78B300528D30}" keepAlive="1" name="Query - Speech Emotion-csv_segments (3)" description="Connection to the 'Speech Emotion-csv_segments (3)' query in the workbook." type="5" refreshedVersion="0" background="1">
    <dbPr connection="Provider=Microsoft.Mashup.OleDb.1;Data Source=$Workbook$;Location=&quot;Speech Emotion-csv_segments (3)&quot;;Extended Properties=&quot;&quot;" command="SELECT * FROM [Speech Emotion-csv_segments (3)]"/>
  </connection>
  <connection id="3" xr16:uid="{46D93E45-F30C-9342-843C-CFE5105319B9}" keepAlive="1" name="Query - Speech Emotion-csv_segments (4)" description="Connection to the 'Speech Emotion-csv_segments (4)' query in the workbook." type="5" refreshedVersion="8" background="1" saveData="1">
    <dbPr connection="Provider=Microsoft.Mashup.OleDb.1;Data Source=$Workbook$;Location=&quot;Speech Emotion-csv_segments (4)&quot;;Extended Properties=&quot;&quot;" command="SELECT * FROM [Speech Emotion-csv_segments (4)]"/>
  </connection>
</connections>
</file>

<file path=xl/sharedStrings.xml><?xml version="1.0" encoding="utf-8"?>
<sst xmlns="http://schemas.openxmlformats.org/spreadsheetml/2006/main" count="2003" uniqueCount="508">
  <si>
    <t>segment_id</t>
  </si>
  <si>
    <t>film</t>
  </si>
  <si>
    <t>region</t>
  </si>
  <si>
    <t>url</t>
  </si>
  <si>
    <t>video_id</t>
  </si>
  <si>
    <t>start_sec</t>
  </si>
  <si>
    <t>end_sec</t>
  </si>
  <si>
    <t>duration_s</t>
  </si>
  <si>
    <t>audio_relpath</t>
  </si>
  <si>
    <t>MB_202</t>
  </si>
  <si>
    <t>Về nhà đi con</t>
  </si>
  <si>
    <t>Miền Bắc</t>
  </si>
  <si>
    <t>https://www.youtube.com/watch?v=am-ghuAtFh8</t>
  </si>
  <si>
    <t>am-ghuAtFh8</t>
  </si>
  <si>
    <t>audio/MB_202.mp3</t>
  </si>
  <si>
    <t>MB_207</t>
  </si>
  <si>
    <t>audio/MB_207.mp3</t>
  </si>
  <si>
    <t>MB_208</t>
  </si>
  <si>
    <t>audio/MB_208.mp3</t>
  </si>
  <si>
    <t>MB_209</t>
  </si>
  <si>
    <t>audio/MB_209.mp3</t>
  </si>
  <si>
    <t>MB_211</t>
  </si>
  <si>
    <t>audio/MB_211.mp3</t>
  </si>
  <si>
    <t>MB_212</t>
  </si>
  <si>
    <t>https://www.youtube.com/watch?v=UyhV-OfRKfg</t>
  </si>
  <si>
    <t>UyhV-OfRKfg</t>
  </si>
  <si>
    <t>audio/MB_212.mp3</t>
  </si>
  <si>
    <t>MB_218</t>
  </si>
  <si>
    <t>https://www.youtube.com/watch?v=5f37g88entM</t>
  </si>
  <si>
    <t>5f37g88entM</t>
  </si>
  <si>
    <t>audio/MB_218.mp3</t>
  </si>
  <si>
    <t>MB_221</t>
  </si>
  <si>
    <t>https://www.youtube.com/watch?v=HFD896ksG1I</t>
  </si>
  <si>
    <t>HFD896ksG1I</t>
  </si>
  <si>
    <t>audio/MB_221.mp3</t>
  </si>
  <si>
    <t>MB_223</t>
  </si>
  <si>
    <t>audio/MB_223.mp3</t>
  </si>
  <si>
    <t>MB_224</t>
  </si>
  <si>
    <t>audio/MB_224.mp3</t>
  </si>
  <si>
    <t>MB_225</t>
  </si>
  <si>
    <t>audio/MB_225.mp3</t>
  </si>
  <si>
    <t>MB_227</t>
  </si>
  <si>
    <t>audio/MB_227.mp3</t>
  </si>
  <si>
    <t>MB_229</t>
  </si>
  <si>
    <t>https://www.youtube.com/watch?v=GubZwoDz02I</t>
  </si>
  <si>
    <t>GubZwoDz02I</t>
  </si>
  <si>
    <t>audio/MB_229.mp3</t>
  </si>
  <si>
    <t>MB_230</t>
  </si>
  <si>
    <t>audio/MB_230.mp3</t>
  </si>
  <si>
    <t>MB_232</t>
  </si>
  <si>
    <t>audio/MB_232.mp3</t>
  </si>
  <si>
    <t>MB_237</t>
  </si>
  <si>
    <t>audio/MB_237.mp3</t>
  </si>
  <si>
    <t>MB_240</t>
  </si>
  <si>
    <t>https://www.youtube.com/watch?v=Nr5BdPsMtC4</t>
  </si>
  <si>
    <t>Nr5BdPsMtC4</t>
  </si>
  <si>
    <t>audio/MB_240.mp3</t>
  </si>
  <si>
    <t>MB_242</t>
  </si>
  <si>
    <t>audio/MB_242.mp3</t>
  </si>
  <si>
    <t>MB_243</t>
  </si>
  <si>
    <t>audio/MB_243.mp3</t>
  </si>
  <si>
    <t>MB_253</t>
  </si>
  <si>
    <t>https://www.youtube.com/watch?v=OvkRcJvUPnw</t>
  </si>
  <si>
    <t>OvkRcJvUPnw</t>
  </si>
  <si>
    <t>audio/MB_253.mp3</t>
  </si>
  <si>
    <t>MB_254</t>
  </si>
  <si>
    <t>audio/MB_254.mp3</t>
  </si>
  <si>
    <t>MB_259</t>
  </si>
  <si>
    <t>audio/MB_259.mp3</t>
  </si>
  <si>
    <t>MB_260</t>
  </si>
  <si>
    <t>audio/MB_260.mp3</t>
  </si>
  <si>
    <t>MB_261</t>
  </si>
  <si>
    <t>audio/MB_261.mp3</t>
  </si>
  <si>
    <t>MB_262</t>
  </si>
  <si>
    <t>audio/MB_262.mp3</t>
  </si>
  <si>
    <t>MB_263</t>
  </si>
  <si>
    <t>audio/MB_263.mp3</t>
  </si>
  <si>
    <t>MB_266</t>
  </si>
  <si>
    <t>audio/MB_266.mp3</t>
  </si>
  <si>
    <t>MB_271</t>
  </si>
  <si>
    <t>https://www.youtube.com/watch?v=DzYiDu9ord8</t>
  </si>
  <si>
    <t>DzYiDu9ord8</t>
  </si>
  <si>
    <t>audio/MB_271.mp3</t>
  </si>
  <si>
    <t>MB_274</t>
  </si>
  <si>
    <t>audio/MB_274.mp3</t>
  </si>
  <si>
    <t>MB_275</t>
  </si>
  <si>
    <t>audio/MB_275.mp3</t>
  </si>
  <si>
    <t>MB_279</t>
  </si>
  <si>
    <t>audio/MB_279.mp3</t>
  </si>
  <si>
    <t>MB_290</t>
  </si>
  <si>
    <t>https://www.youtube.com/watch?v=-O_yHwIN_xs</t>
  </si>
  <si>
    <t>audio/MB_290.mp3</t>
  </si>
  <si>
    <t>MB_291</t>
  </si>
  <si>
    <t>audio/MB_291.mp3</t>
  </si>
  <si>
    <t>MB_292</t>
  </si>
  <si>
    <t>audio/MB_292.mp3</t>
  </si>
  <si>
    <t>MB_295</t>
  </si>
  <si>
    <t>https://www.youtube.com/watch?v=sPRgPfXOPi0</t>
  </si>
  <si>
    <t>sPRgPfXOPi0</t>
  </si>
  <si>
    <t>audio/MB_295.mp3</t>
  </si>
  <si>
    <t>MB_296</t>
  </si>
  <si>
    <t>audio/MB_296.mp3</t>
  </si>
  <si>
    <t>MB_300</t>
  </si>
  <si>
    <t>audio/MB_300.mp3</t>
  </si>
  <si>
    <t>MB_301</t>
  </si>
  <si>
    <t>https://www.youtube.com/watch?v=T5JrlWmkUgQ</t>
  </si>
  <si>
    <t>T5JrlWmkUgQ</t>
  </si>
  <si>
    <t>audio/MB_301.mp3</t>
  </si>
  <si>
    <t>MB_302</t>
  </si>
  <si>
    <t>audio/MB_302.mp3</t>
  </si>
  <si>
    <t>MB_311</t>
  </si>
  <si>
    <t>https://www.youtube.com/watch?v=6y3O0v69ZSs</t>
  </si>
  <si>
    <t>6y3O0v69ZSs</t>
  </si>
  <si>
    <t>audio/MB_311.mp3</t>
  </si>
  <si>
    <t>MB_312</t>
  </si>
  <si>
    <t>audio/MB_312.mp3</t>
  </si>
  <si>
    <t>MB_313</t>
  </si>
  <si>
    <t>audio/MB_313.mp3</t>
  </si>
  <si>
    <t>MB_323</t>
  </si>
  <si>
    <t>https://www.youtube.com/watch?v=bMdX1xVxBbg</t>
  </si>
  <si>
    <t>bMdX1xVxBbg</t>
  </si>
  <si>
    <t>audio/MB_323.mp3</t>
  </si>
  <si>
    <t>MB_326</t>
  </si>
  <si>
    <t>https://www.youtube.com/watch?v=fPH2QbNLJWo</t>
  </si>
  <si>
    <t>fPH2QbNLJWo</t>
  </si>
  <si>
    <t>audio/MB_326.mp3</t>
  </si>
  <si>
    <t>MB_339</t>
  </si>
  <si>
    <t>https://www.youtube.com/watch?v=mPEHA_1gShg</t>
  </si>
  <si>
    <t>mPEHA_1gShg</t>
  </si>
  <si>
    <t>audio/MB_339.mp3</t>
  </si>
  <si>
    <t>MB_348</t>
  </si>
  <si>
    <t>https://www.youtube.com/watch?v=pi29M-q9SN0</t>
  </si>
  <si>
    <t>pi29M-q9SN0</t>
  </si>
  <si>
    <t>audio/MB_348.mp3</t>
  </si>
  <si>
    <t>MB_350</t>
  </si>
  <si>
    <t>audio/MB_350.mp3</t>
  </si>
  <si>
    <t>MB_354</t>
  </si>
  <si>
    <t>https://www.youtube.com/watch?v=wT62o5Lxdnc</t>
  </si>
  <si>
    <t>wT62o5Lxdnc</t>
  </si>
  <si>
    <t>audio/MB_354.mp3</t>
  </si>
  <si>
    <t>MB_363</t>
  </si>
  <si>
    <t>https://www.youtube.com/watch?v=qE7R24FCTjE</t>
  </si>
  <si>
    <t>qE7R24FCTjE</t>
  </si>
  <si>
    <t>audio/MB_363.mp3</t>
  </si>
  <si>
    <t>MB_364</t>
  </si>
  <si>
    <t>audio/MB_364.mp3</t>
  </si>
  <si>
    <t>MB_367</t>
  </si>
  <si>
    <t>audio/MB_367.mp3</t>
  </si>
  <si>
    <t>MB_368</t>
  </si>
  <si>
    <t>audio/MB_368.mp3</t>
  </si>
  <si>
    <t>MB_378</t>
  </si>
  <si>
    <t>https://www.youtube.com/watch?v=GearnxCkf3w</t>
  </si>
  <si>
    <t>GearnxCkf3w</t>
  </si>
  <si>
    <t>audio/MB_378.mp3</t>
  </si>
  <si>
    <t>MB_381</t>
  </si>
  <si>
    <t>audio/MB_381.mp3</t>
  </si>
  <si>
    <t>MB_382</t>
  </si>
  <si>
    <t>audio/MB_382.mp3</t>
  </si>
  <si>
    <t>MB_387</t>
  </si>
  <si>
    <t>audio/MB_387.mp3</t>
  </si>
  <si>
    <t>MB_391</t>
  </si>
  <si>
    <t>audio/MB_391.mp3</t>
  </si>
  <si>
    <t>MB_392</t>
  </si>
  <si>
    <t>audio/MB_392.mp3</t>
  </si>
  <si>
    <t>MB_393</t>
  </si>
  <si>
    <t>audio/MB_393.mp3</t>
  </si>
  <si>
    <t>MB_398</t>
  </si>
  <si>
    <t>audio/MB_398.mp3</t>
  </si>
  <si>
    <t>=-O_yHwIN_xs</t>
  </si>
  <si>
    <t>segment_key</t>
  </si>
  <si>
    <t>segment_index</t>
  </si>
  <si>
    <t>youtube_video_id</t>
  </si>
  <si>
    <t>start_seconds</t>
  </si>
  <si>
    <t>end_seconds</t>
  </si>
  <si>
    <t>definition_revision</t>
  </si>
  <si>
    <t>transcript</t>
  </si>
  <si>
    <t>labels</t>
  </si>
  <si>
    <t>split</t>
  </si>
  <si>
    <t>processing_status</t>
  </si>
  <si>
    <t>deleted_at</t>
  </si>
  <si>
    <t>source_id</t>
  </si>
  <si>
    <t>youtube_url</t>
  </si>
  <si>
    <t>title</t>
  </si>
  <si>
    <t>description</t>
  </si>
  <si>
    <t>text_spans</t>
  </si>
  <si>
    <t>am-ghuAtFh8#1</t>
  </si>
  <si>
    <t>Cô thôi đi, còn tôi là cái loại hạ cấp trong xã hội, làm sao sánh với cảnh vàng lá ngọc nhà cô? Anh đang nói gì đấy? Tôi nghe hết chuyện tối nay cô nói rồi. Rất sâu sắc. Cái gì mà những người không cùng trình độ này, không cùng một lối sống, không cùng một quan điểm này, không cùng một suy nghĩ này? Cô đang nói về em cô hay cô đang nói về tôi? Và cô ấy hất rớt gan rớt ruột thế rồi mà thôi, đừng có suy diễn nữa, chả hiểu ý.</t>
  </si>
  <si>
    <t>Anger</t>
  </si>
  <si>
    <t>train</t>
  </si>
  <si>
    <t>COMPLETED</t>
  </si>
  <si>
    <t/>
  </si>
  <si>
    <t>cdb783e2-80c1-4027-bbc4-391a8cadde54</t>
  </si>
  <si>
    <t>d46e6556-57ef-49d4-9c45-71f0d5d316a8</t>
  </si>
  <si>
    <t>VỀ NHÀ ĐI CON - Tập 27 | Phim Bộ Tình Cảm Gia Đình Hay Nhất 2025 | Phim Việt Nam Bất Hủ</t>
  </si>
  <si>
    <t>VỀ NHÀ ĐI CON - Tập 27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</si>
  <si>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t>
  </si>
  <si>
    <t>am-ghuAtFh8#2</t>
  </si>
  <si>
    <t>Thiên vị hay không thiên vị, người ngoài vẫn là người ngoài, không thể so sánh với thằng con độc nhất của em được. Em yêu con em, ok, em không hiểu gì đó, em chiều nó, em chiều nó quá. Em nghĩ lại đi, từ ngày về nước đó đã làm được những cái gì? Không chịu làm ăn gì cả. Nếu em không kịp thời thức tỉnh nó thì em tự hình dung xem con em nó sẽ trở thành một đứa như thế nào.</t>
  </si>
  <si>
    <t>Anger|Fear</t>
  </si>
  <si>
    <t>8ee7d6ef-5c43-4007-98bf-0fad3833848a</t>
  </si>
  <si>
    <t>am-ghuAtFh8#3</t>
  </si>
  <si>
    <t>Tôi và cô tự tìm cách mà giải quyết. Hứ, cô muốn gì cứ nói. Hứ, câu này nghe quen quá, kiếm câu khác đi.</t>
  </si>
  <si>
    <t>5abf2c31-482e-4348-af14-83b48d264d09</t>
  </si>
  <si>
    <t>am-ghuAtFh8#4</t>
  </si>
  <si>
    <t>Một tỷ nếu như cô chịu giải quyết đứa bé.</t>
  </si>
  <si>
    <t>Uncertain</t>
  </si>
  <si>
    <t>157eca7f-2f12-471d-a69f-8ae0501ea7ed</t>
  </si>
  <si>
    <t>am-ghuAtFh8#5</t>
  </si>
  <si>
    <t>Thứ hai, tôi không phải là người sắp xếp để người lớn biết được chuyện này, và thứ ba, anh yên tâm đi, tôi sẽ không bắt anh phải chịu trách nhiệm đâu. OK, như vậy.</t>
  </si>
  <si>
    <t>Neutral</t>
  </si>
  <si>
    <t>4751b6e5-da9a-4b86-a68d-2d1022dba9ac</t>
  </si>
  <si>
    <t>UyhV-OfRKfg#1</t>
  </si>
  <si>
    <t>Con có sợ mùi gì nữa không? Để hằng ngày nấu cơm, bố tránh ra. Con chẳng biết, chắc là hơi phải trải nghiệm từ từ. Bọn thế này ăn được này. Ăn được hả? Mai chị lại lắm.</t>
  </si>
  <si>
    <t>4096634f-4e32-456f-b311-d935b47ddcad</t>
  </si>
  <si>
    <t>db85184c-9b03-40a3-b5b9-3eaa2d3cc28a</t>
  </si>
  <si>
    <t>VỀ NHÀ ĐI CON - Tập 28 | Phim Bộ Tình Cảm Gia Đình Hay Nhất 2025 | Phim Việt Nam Bất Hủ</t>
  </si>
  <si>
    <t>VỀ NHÀ ĐI CON - Tập 28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</si>
  <si>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5f37g88entM#1</t>
  </si>
  <si>
    <t>Anh ơi, để tôi với cháu Dương đưa anh về nhé, chứ ở đây gió máy lắm, nguy hiểm anh ạ. Đi bộ ơi? Dạ, tôi đi. Phương nhìn thấy mẹ rồi, cứ rút gió tôi đi về. Gớm thế em nào? Thôi, tôi đi về.</t>
  </si>
  <si>
    <t>val</t>
  </si>
  <si>
    <t>c03e3b88-3349-48a6-8994-b144c6f1b7a8</t>
  </si>
  <si>
    <t>6b72fdb1-cad5-4912-b393-fd162732a24b</t>
  </si>
  <si>
    <t>VỀ NHÀ ĐI CON - Tập 29 | Phim Bộ Tình Cảm Gia Đình Hay Nhất 2025 | Phim Việt Nam Bất Hủ</t>
  </si>
  <si>
    <t>VỀ NHÀ ĐI CON - Tập 29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</si>
  <si>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HFD896ksG1I#1</t>
  </si>
  <si>
    <t>Ăn cháo nhé. Ăn một miếng đi. Ngang cực đi. Bây giờ chơi xong rồi sẽ ăn.</t>
  </si>
  <si>
    <t>329e11f5-423f-4e9d-99ae-8e5b4533201e</t>
  </si>
  <si>
    <t>997e15d7-8dbf-4c40-95ec-0aca08609fb4</t>
  </si>
  <si>
    <t>VỀ NHÀ ĐI CON - Tập 31 | Phim Bộ Tình Cảm Gia Đình Hay Nhất 2025 | Phim Việt Nam Bất Hủ</t>
  </si>
  <si>
    <t>VỀ NHÀ ĐI CON - Tập 31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</si>
  <si>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HFD896ksG1I#2</t>
  </si>
  <si>
    <t>Không phải như ai đó nghĩ đâu, chứ không như bọn em nghĩ. Ui, chị thay quần áo ra cửa hàng đây. Ơ, thấy chưa, nói lung ta lung tung, đổ oan cho chị ý.</t>
  </si>
  <si>
    <t>daf62790-aad9-41a8-b217-eb6c5094f2f1</t>
  </si>
  <si>
    <t>HFD896ksG1I#3</t>
  </si>
  <si>
    <t>Được rồi, sao trong mặt bảo hệ rất gian? Tao chắc chắn là sắc có biến. Chị đánh răng đi đã, khiếp quá.</t>
  </si>
  <si>
    <t>50404a82-1e08-4871-9443-638ec5e7023e</t>
  </si>
  <si>
    <t>HFD896ksG1I#4</t>
  </si>
  <si>
    <t>Anh ơi, hôm nay mình ăn ở nhà hay là ra ngoài ăn? Ở nhà đi.</t>
  </si>
  <si>
    <t>10d500f2-5d1f-4eac-9a9a-7587df70c6f3</t>
  </si>
  <si>
    <t>HFD896ksG1I#5</t>
  </si>
  <si>
    <t>Lời dễ nói ra thì cũng dễ quên thôi em, đừng nói nữa. Này, nếu chị gặp anh Thành mà cảm thấy vẫn còn tình cảm thì... Đã nói là đừng nói nữa rồi, nhưng em đã nói với chị từ đầu.</t>
  </si>
  <si>
    <t>ca3287aa-a256-4cdb-b2af-b8c7d52c543b</t>
  </si>
  <si>
    <t>GubZwoDz02I#1</t>
  </si>
  <si>
    <t>Con có chuyện gì đấy hả bố? Sao thế bố? Nhà Bấp Luật sang đây bây giờ đấy, để nói chuyện về việc của bọn con.</t>
  </si>
  <si>
    <t>744e4d20-a105-45e5-88a0-10d97ad5b0f0</t>
  </si>
  <si>
    <t>ff8d8681-c464-4f80-860b-ba5d7eba6b5c</t>
  </si>
  <si>
    <t>VỀ NHÀ ĐI CON - Tập 32 | Phim Bộ Tình Cảm Gia Đình Hay Nhất 2025 | Phim Việt Nam Bất Hủ</t>
  </si>
  <si>
    <t>VỀ NHÀ ĐI CON - Tập 32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</si>
  <si>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GubZwoDz02I#2</t>
  </si>
  <si>
    <t>Xuống quét dọn, chuẩn bị nước ngồi cho bố. Nhanh lên, còn đứng đấy à? Nhanh lên! Nhưng mà gặp phải làm gì hở, Bến? Chuyện hệ trọng của con, có thể nào cũng phải quyết một lần thôi con.</t>
  </si>
  <si>
    <t>be18e79f-88e5-4fca-b9e0-ff7b2bf64ec1</t>
  </si>
  <si>
    <t>GubZwoDz02I#3</t>
  </si>
  <si>
    <t>Hễ cứ nghĩ là nhà bên ấy sẽ đồng ý, mẹ chuẩn bị tất tần tật, nhưng giờ thì mày thấy chưa, mày tự người ta bố mày lắm à? Hễ thì cũng phải giả bộ làm màu làm mẹ chút xíu chứ, bố. Chứ lẽ bây giờ mình hỏi cưới bên đó, ok, chấp nhận liền thì quấy quá đúng không mày? Đúng là cái loại không tiêu hóa được. Chứ giờ bố muốn con phải làm sao đây hả? Không lẽ giờ bắt con bi lụy, Giáng Sinh quỳ lại à? Mọi việc đã đến nước này rồi, nóng nảy cũng chẳng làm được cái gì. Cháu của mẹ bây giờ nằm trong bụng, nhưng mà nó biết tủi thân rồi đấy.</t>
  </si>
  <si>
    <t>Anger|Sadness</t>
  </si>
  <si>
    <t>f92515b2-950c-4326-ac48-9dc10ed1ed08</t>
  </si>
  <si>
    <t>GubZwoDz02I#4</t>
  </si>
  <si>
    <t>Thằng Khải nó lại động chân động tay với con à? Không ạ, chỉ là bọn con cãi nhau về anh ấy, nhỡ tay thôi mà. Cái thằng bây giờ lại còn sinh ra thói vũ phu đấy. Bố cứ bảo đạp đổ dễ hơn vun đắp mà con không hiểu, về cái loại vũ phu cờ bạc như thế thì vun vun cái gì.</t>
  </si>
  <si>
    <t>6c01a68d-abf2-4350-9040-45b093ae0fbc</t>
  </si>
  <si>
    <t>Nr5BdPsMtC4#1</t>
  </si>
  <si>
    <t>Làm cái gì đây? Tiền ông anh bay cả cuộc. Quen tiền lãi không trả anh có một lời ăn cá mà không biết điều. Bọn này xích lại cái xe này nha. Mong ví ra đây. Hôm nay mà không đủ tiền lãi là không sao. Bọn này đâu được có sáu triệu tám anh ạ. Các cậu với cổng bảo cuối.</t>
  </si>
  <si>
    <t>84c94f37-27f7-45ba-babe-a061760b81b1</t>
  </si>
  <si>
    <t>f4c5246f-c4b5-4f03-97db-c3773f168b83</t>
  </si>
  <si>
    <t>VỀ NHÀ ĐI CON - Tập 33 | Phim Bộ Tình Cảm Gia Đình Hay Nhất 2025 | Phim Việt Nam Bất Hủ</t>
  </si>
  <si>
    <t>VỀ NHÀ ĐI CON - Tập 33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</si>
  <si>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Nr5BdPsMtC4#2</t>
  </si>
  <si>
    <t>Lạ thật đấy, con bé này sao thế em? À, em gọi đồ ăn chỗ Huệ mà nó không nghe. Em nghe chị ư? Em?</t>
  </si>
  <si>
    <t>41751102-c661-440b-93e2-c7d3a6141ea0</t>
  </si>
  <si>
    <t>Nr5BdPsMtC4#3</t>
  </si>
  <si>
    <t>Với cả chị đặt thêm hai hộp chả cá nữa. Hôm đấy em hết hàng rồi hả? Hết rồi á? Ờ, thế thôi. Chán chuyện hết bà tên mất rồi anh ạ. Ăn gì bây giờ nhở? Anh thích ăn pizza hay bò bít tết? Tùy em đấy. Tùy em, tùy em mà lúc nào cũng đòi ăn.</t>
  </si>
  <si>
    <t>Neutral|Sadness</t>
  </si>
  <si>
    <t>58e62117-3744-4b28-9063-ee3f854c9c00</t>
  </si>
  <si>
    <t>OvkRcJvUPnw#1</t>
  </si>
  <si>
    <t>Chị về có bị lão Khải đánh không? Đời cho tôi thôi giải tán luôn đi. Ngày xưa chỉ thấy lão ít chữ, bây giờ rõ một phường thất học, cục súc, ùa nhau nói xấu tôi hả? Dù tôi có thế nào thì tôi cũng là chồng của tôi.</t>
  </si>
  <si>
    <t>7eb0d0f1-7688-48ac-8e08-00c3e63d98d5</t>
  </si>
  <si>
    <t>778e876b-bc64-484b-99b1-5ad3908beb18</t>
  </si>
  <si>
    <t>VỀ NHÀ ĐI CON - Tập 34 | Phim Bộ Tình Cảm Gia Đình Hay Nhất 2025 | Phim Việt Nam Bất Hủ</t>
  </si>
  <si>
    <t>VỀ NHÀ ĐI CON - Tập 34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</si>
  <si>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OvkRcJvUPnw#2</t>
  </si>
  <si>
    <t>Bỏ ra, anh muốn gì? Muốn gì nhỉ? Nha, bỏ ra, thổ lộ thật thẳng, tạo thế.</t>
  </si>
  <si>
    <t>0f26d780-5f5c-4943-9d46-0af980c6c9fb</t>
  </si>
  <si>
    <t>OvkRcJvUPnw#3</t>
  </si>
  <si>
    <t>Bác sĩ nói em bé là sao rồi ạ? Đây ạ, bác sĩ bảo em bé vẫn ổn định, chỉ dặn cháu là nhớ khám sức khỏe định kỳ với lại bổ sung thêm canxi ạ. Nè, có nghe rõ không? Có gì thì báo bác nha. Dạ không ạ, cháu chỉ hơi sợ, cháu với cả mùi đồ ngọt, còn lại vẫn ăn được ạ. Con phải giữ gìn sức khỏe nhé.</t>
  </si>
  <si>
    <t>Fear</t>
  </si>
  <si>
    <t>67335133-4c7c-443c-a810-26152f8e71e9</t>
  </si>
  <si>
    <t>OvkRcJvUPnw#4</t>
  </si>
  <si>
    <t>Còn việc ký sim, hai bác sẽ lo. Thằng kia ra rồi, vẫn còn đang ở trên phòng á. Điểm lên kêu nó nói đây, nói đây.</t>
  </si>
  <si>
    <t>6f4e6ce0-f98e-436d-b091-5dd57363fff1</t>
  </si>
  <si>
    <t>OvkRcJvUPnw#5</t>
  </si>
  <si>
    <t>Thôi, chào chào. Chăn nước lần trước để con này say lật lưỡi nằm ở quán, không chịu ngó ngàng gì. Con đã gọi để em ghé. Tôi không say, một sự danh giới gì đâu này. Chị có tiền à? Không có đâu, đừng có hỏi. Nhưng mà chị có say đâu, được không? Tay nóng.</t>
  </si>
  <si>
    <t>a6b519b7-4efc-4aef-a64d-adf5eca23d5d</t>
  </si>
  <si>
    <t>OvkRcJvUPnw#6</t>
  </si>
  <si>
    <t>Tôi suy nghĩ hoài, bây giờ mới biết. Thì ra hôm nay cô lên nhà tôi là vì cái này à? Anh nghĩ thế nào thì nó là thế ấy. Được rồi, cô mua sắm xong gọi điện thoại cho tôi, tôi sẽ đến đón. Và nè, cô nên nhớ, cô mua bất cứ cái gì, nó đều báo vào điện thoại của tôi hết đó. Anh yên tâm đi, tôi không biết rất là nhiều thứ. Biết điều thì tôi biết, để xem.</t>
  </si>
  <si>
    <t>c594c31f-2923-468c-8028-0ba68b5e55cd</t>
  </si>
  <si>
    <t>OvkRcJvUPnw#7</t>
  </si>
  <si>
    <t>Chào em, anh không nói với chị Thư là hôm nay anh gặp tôi đấy chứ? Ừ, không. Hôm nay tôi hẹn anh ra đây vì tôi muốn hỏi anh có thật lòng với chị tôi không. Anh hỏi cưới chị em.</t>
  </si>
  <si>
    <t>8736aa94-8245-4dce-aa8c-5aeee5350cd7</t>
  </si>
  <si>
    <t>OvkRcJvUPnw#8</t>
  </si>
  <si>
    <t>Anh rẽ qua chỗ bếp của em mua ít đồ ăn nhé. Em ở đây suốt không chán hay là tìm thử chỗ khác đi? Em tìm vài chỗ rồi nhưng mà không có chỗ nào.</t>
  </si>
  <si>
    <t>e2221d0f-a15e-46e1-b042-64b49e3ed532</t>
  </si>
  <si>
    <t>DzYiDu9ord8#1</t>
  </si>
  <si>
    <t>Đáng lên này, tại sao đấy không lấy cái tiệm tiệm cái chó? Tại ông đỏ nhất quả đất đấy nhé. Cái bọn mà trong bay nắng hôm nọ á bị tóm hết cả rồi. Đừng có đuổi giải này. Ai ném? Đùa con này mà đùa là con chó.</t>
  </si>
  <si>
    <t>e5afb827-a194-409b-8229-4ab5d97bd022</t>
  </si>
  <si>
    <t>649acaca-a8ca-4093-ba69-5e7275f2a615</t>
  </si>
  <si>
    <t>VỀ NHÀ ĐI CON - Tập 35 | Phim Bộ Tình Cảm Gia Đình Hay Nhất 2025 | Phim Việt Nam Bất Hủ</t>
  </si>
  <si>
    <t>VỀ NHÀ ĐI CON - Tập 35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</si>
  <si>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DzYiDu9ord8#2</t>
  </si>
  <si>
    <t>Dương còn mời thêm ai nữa không chị? Thu hút danh sách nhá. Chắc em có mỗi thằng Bảo thôi. Ờ này, chị có chuyện gì ạ? Chuyện gì là chuyện gì? Sao em thấy bố vẫn lo lắng thế nhờ? Hay là mày điên ạ.</t>
  </si>
  <si>
    <t>52ad4f79-904f-4174-8c20-3c924f3b4234</t>
  </si>
  <si>
    <t>DzYiDu9ord8#3</t>
  </si>
  <si>
    <t>Vừa mới bỏ ra khen một tí, tê ồ. Rồi giờ này anh đây làm gì? Không đi đổ hàng, chị mày đâu? Chắc đi xin hàng đấy. Dạo vùng đây, cái thằng kia lại qua đây nhắc mình nhớ sao này.</t>
  </si>
  <si>
    <t>fb72c9b6-7822-406e-adc3-19979aac547b</t>
  </si>
  <si>
    <t>DzYiDu9ord8#4</t>
  </si>
  <si>
    <t>Chị ơi, tính tiền cho em gặp nhẫn này nhé. Chị có muốn khắc tên em, ngày tháng gì không? Ờ, không, chị cứ để trơn đi cho nó dễ... Dễ gì? Dễ bán hay dễ cầm cố? Anh cứ hiểu đơn giản như là dễ tháo.</t>
  </si>
  <si>
    <t>af483053-01b4-4d36-b7ce-40d65e09bc17</t>
  </si>
  <si>
    <t>-O_yHwIN_xs#1</t>
  </si>
  <si>
    <t>-O_yHwIN_xs</t>
  </si>
  <si>
    <t>Có thật là thằng Vũ nó bận không, hay có chuyện gì? Cứ nói với bố. Con nói thật mà. Anh Vũ, anh ấy bận hay đi trước, bố phải tin con chứ. Ui dời, đúng là cuộc đời đã câu màng thật. Con gái mình đi khi người khác lắm vào, rồi người khác lại khinh. Lại có chuyện gì, anh cứ nói cho đàng hoàng, đừng bóng gió như thế. Thì con có bóng gió đâu.</t>
  </si>
  <si>
    <t>Uncertain|Sadness</t>
  </si>
  <si>
    <t>953e419d-be00-41a8-b406-4c20c116b56c</t>
  </si>
  <si>
    <t>6afba56b-d7fe-40da-aca1-62bfecbd8200</t>
  </si>
  <si>
    <t>VỀ NHÀ ĐI CON - Tập 37 | Phim Bộ Tình Cảm Gia Đình Hay Nhất 2025 | Phim Việt Nam Bất Hủ</t>
  </si>
  <si>
    <t>VỀ NHÀ ĐI CON - Tập 37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</si>
  <si>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-O_yHwIN_xs#2</t>
  </si>
  <si>
    <t>Thư, ờ, có đưa Vũ lên phòng lấy cồn sửa cho nó. Vâng, cô nói đúng đấy. Hai vợ chồng lên phòng đi. Dạ, Khải, hôm nay lễ lại mặt của Mỹ Thư lại là hình cứu.</t>
  </si>
  <si>
    <t>b006a593-ca75-48aa-bde0-07579601757f</t>
  </si>
  <si>
    <t>-O_yHwIN_xs#3</t>
  </si>
  <si>
    <t>Thế rồi, ngạc nhiên, ông anh tới tận đây tìm. Có chuyện gì? Rồi bé có nhà không? Gọi nó ra đây. Có chuyện gì anh nói chuyện cho đàng hoàng.</t>
  </si>
  <si>
    <t>3e9c10f4-76b3-4e40-82ba-1d4b9d8bbf22</t>
  </si>
  <si>
    <t>sPRgPfXOPi0#1</t>
  </si>
  <si>
    <t>Quà lại mặt đâu? Đâu nhờ để chiếc xe rồi, giờ tính sao? Tính sao hả anh? Ăn luôn đi. Anh cũng giỏi thật đấy. Nôn tiền ra đây nè. Mà tiền gì? Tiền tớ phải bỏ ra để mua quà khác mang về lại mặt.</t>
  </si>
  <si>
    <t>979ec25c-df4f-45ee-9c95-31e0f002931c</t>
  </si>
  <si>
    <t>b479dc9d-b3ea-4f13-981d-9d039a7d6ce9</t>
  </si>
  <si>
    <t>VỀ NHÀ ĐI CON - Tập 38 | Phim Bộ Tình Cảm Gia Đình Hay Nhất 2025 | Phim Việt Nam Bất Hủ</t>
  </si>
  <si>
    <t>VỀ NHÀ ĐI CON - Tập 38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</si>
  <si>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sPRgPfXOPi0#2</t>
  </si>
  <si>
    <t>Chị cảm ơn em. Bình thường thì tôi cũng hay ghé qua ủng hộ quán, nhưng không nghĩ chúng ta lại có duyên đến thế, đều yêu một người đàn ông. Ban đầu, tôi không hiểu lý do tại sao chị lại gọi tôi ra đây, nhưng nếu vì chuyện này thì tôi nghĩ nó không đáng. Mọi chuyện cũng qua lâu rồi mà. Khi tôi hỏi anh Thành, anh cũng nói in.</t>
  </si>
  <si>
    <t>564a7d4a-7a91-405e-843a-e373f921ebc7</t>
  </si>
  <si>
    <t>sPRgPfXOPi0#3</t>
  </si>
  <si>
    <t>A lô, anh ạ. Anh đang ở đâu đấy? Ừ, anh đang trong chuyện. Hôm nay đi trực đột xuất ạ. Ờ, ờ, ờ, em bắt đầu cảm thấy thấp thỏm khi anh vắng nhà rồi đấy. Em ngủ đi nhá.</t>
  </si>
  <si>
    <t>622672b6-2de0-42a8-8823-b0ac0606dfcf</t>
  </si>
  <si>
    <t>T5JrlWmkUgQ#1</t>
  </si>
  <si>
    <t>Anh lại tự ý đổi phòng thế? Nhưng việc anh làm khiến em có chuyện đến thế, không muốn gặp Quyến Ước nữa thôi. Được rồi, em về phòng nghỉ ngơi đi. Anh hứa sẽ không can thiệp vào bất cứ chuyện gì của anh nữa. Lừa cho em trốn tay qua ông, trả lại tiền miệng phí cho anh.</t>
  </si>
  <si>
    <t>test</t>
  </si>
  <si>
    <t>6d16e0ad-fcbb-4b42-8838-def92cc403a7</t>
  </si>
  <si>
    <t>6d0b7c5a-34a9-4a88-99d8-5d5cdae399cb</t>
  </si>
  <si>
    <t>VỀ NHÀ ĐI CON - Tập 39 | Phim Bộ Tình Cảm Gia Đình Hay Nhất 2025 | Phim Việt Nam Bất Hủ</t>
  </si>
  <si>
    <t>VỀ NHÀ ĐI CON - Tập 39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</si>
  <si>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T5JrlWmkUgQ#2</t>
  </si>
  <si>
    <t>Em xứng đáng với tất cả những gì tốt đẹp nhất. Đây là sự lựa chọn của em. Em không cần phải sống vì ai nữa. Hãy sống vì mình, có được không? Em đã lựa chọn rồi, không.</t>
  </si>
  <si>
    <t>Sadness</t>
  </si>
  <si>
    <t>657560c2-825d-4697-9f9a-fcd54dc414f7</t>
  </si>
  <si>
    <t>6y3O0v69ZSs#1</t>
  </si>
  <si>
    <t>Trung trung trung trung gì đấy? Ơ, chị Huệ kìa. Sao chị em nhà cậu bí hiểm đấy? Thắm, truyện… Ê, đến lớp đi. Nếu mà Tờ đến muộn ý, nhớ điểm danh qua Tờ nhé.</t>
  </si>
  <si>
    <t>673f2bb1-1090-4da9-9795-2148a1ed9952</t>
  </si>
  <si>
    <t>24310d9b-e544-4444-a31e-229de2c6d5f5</t>
  </si>
  <si>
    <t>VỀ NHÀ ĐI CON - Tập 41 | Phim Bộ Tình Cảm Gia Đình Hay Nhất 2025 | Phim Việt Nam Bất Hủ</t>
  </si>
  <si>
    <t>VỀ NHÀ ĐI CON - Tập 41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</si>
  <si>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6y3O0v69ZSs#2</t>
  </si>
  <si>
    <t>Ui, xem gọi mãi chị cũng được ấy. Chị tắt máy mà, mà chứ máu lạnh thật đấy, lặn mất tăm luôn. Hấp, tự nhiên gọi điện cho em thật. Cho mình bố thế nào rồi.</t>
  </si>
  <si>
    <t>480d8444-643d-43b0-9e5c-ada1fdb6d865</t>
  </si>
  <si>
    <t>6y3O0v69ZSs#3</t>
  </si>
  <si>
    <t>Mới nhớ cũng chính ngày hôm ấy mà chàng Rút Tơ của tớ đã biến mất khỏi giang hồ. Đang nói chuyện kia, đang nói với tớ với cậu, sao mà nhắc đến Rút Tơ làm gì? Rút tớ thằng đếch làm lõng lạng, nhắc đến xin lỗi bạo xoắn chưa đi nhá.</t>
  </si>
  <si>
    <t>0103f1a0-7dff-44a4-b918-1ecd4fedd13a</t>
  </si>
  <si>
    <t>bMdX1xVxBbg#1</t>
  </si>
  <si>
    <t>Bố ơi, con đi liên tòa với chị Nh. Không, không, không cần thiết đâu. Đến giờ bố còn dửng dưng được ạ? Cứ để chị con tự giải quyết việc của mình. Ngay cả bố mà anh ta còn tống tiền được, chẳng có chuyện gì anh ta không dám làm với chị con cả. Có những thứ không tự vượt qua được thì không bước tiếp được.</t>
  </si>
  <si>
    <t>142d8aa1-9157-4268-ba91-03177b060d6b</t>
  </si>
  <si>
    <t>42d1ed07-5870-4cd5-a48d-0333e1567ced</t>
  </si>
  <si>
    <t>VỀ NHÀ ĐI CON - Tập 44 | Phim Bộ Tình Cảm Gia Đình Hay Nhất 2025 | Phim Việt Nam Bất Hủ</t>
  </si>
  <si>
    <t>VỀ NHÀ ĐI CON - Tập 44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</si>
  <si>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fPH2QbNLJWo#1</t>
  </si>
  <si>
    <t>Tình hình như thế này, chắc chắn là bố tôi với chị Huệ sẽ bưng tiền qua nhà bên kia đấy. Cái gì mà giải quyết được bằng tiền thì đừng có mà tiếc. Đã có tiếc tiền đâu, cô không tiếc tiền thì ai mới tiếc đây? Đời đúng là chả biết đồng nào mà lần.</t>
  </si>
  <si>
    <t>Anger|Uncertain</t>
  </si>
  <si>
    <t>c69d5f0a-945e-4771-8716-c52035c08506</t>
  </si>
  <si>
    <t>8d5905ac-2155-4bb3-b84a-f4d6db279c96</t>
  </si>
  <si>
    <t>VỀ NHÀ ĐI CON - Tập 45 | Phim Bộ Tình Cảm Gia Đình Hay Nhất 2025 | Phim Việt Nam Bất Hủ</t>
  </si>
  <si>
    <t>VỀ NHÀ ĐI CON - Tập 45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</si>
  <si>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mPEHA_1gShg#1</t>
  </si>
  <si>
    <t>Cháu xin lỗi cô. Hôm trước cháu nói chuyện với cô mà cháu không suy nghĩ gì. Cô đừng gợi cháu nhé, không cần đâu. Hôm trước chị cô cũng tới đây rồi. Cô ơi, cô ơi, cô cho cháu mua một bó hoa cúc ạ. Cô lấy mẫu này cho lạ nhá. Cô ơi, cho cháu một bó.</t>
  </si>
  <si>
    <t>3460cc2c-1911-488a-a609-fd7fccfb0eee</t>
  </si>
  <si>
    <t>1012e52a-4467-4c2b-b1df-8abf704e2287</t>
  </si>
  <si>
    <t>VỀ NHÀ ĐI CON - Tập 50 | Phim Bộ Tình Cảm Gia Đình Hay Nhất 2025 | Phim Việt Nam Bất Hủ</t>
  </si>
  <si>
    <t>VỀ NHÀ ĐI CON - Tập 50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</si>
  <si>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pi29M-q9SN0#1</t>
  </si>
  <si>
    <t>Thì làm kiểu gì mà trông như văn mẫu này? Phát biểu cảm tưởng thiếu gì, chú ạ? Muối, muối ăn thử đi. Hạt tiêu... Bữa bánh ngọt mà làm sao có hạt?</t>
  </si>
  <si>
    <t>416da6dc-f412-445a-96e9-5bd7d56ef8de</t>
  </si>
  <si>
    <t>1c153e96-5f9c-46f0-906a-f7f7f0964894</t>
  </si>
  <si>
    <t>VỀ NHÀ ĐI CON - Tập 51 | Phim Bộ Tình Cảm Gia Đình Hay Nhất 2025 | Phim Việt Nam Bất Hủ</t>
  </si>
  <si>
    <t>VỀ NHÀ ĐI CON - Tập 51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</si>
  <si>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pi29M-q9SN0#2</t>
  </si>
  <si>
    <t>Bố nhí Dương, là bố có bạn gái có thật không ạ? Thế con muốn bố có bạn gái không? Con thì con muốn bố có bạn gái để Dương đỡ phải tơ tưởng về bố nữa. Nhưng mà con trông bố chẳng có dấu hiệu gì của việc đang có bạn gái cả.</t>
  </si>
  <si>
    <t>Joy</t>
  </si>
  <si>
    <t>ba7313a7-fae2-4e2e-99bf-564c58f51cbc</t>
  </si>
  <si>
    <t>wT62o5Lxdnc#1</t>
  </si>
  <si>
    <t>Này, mày làm như thế là không được đâu đấy. Ơ, tớ làm gì mà không được? Mày bỏ cái thư đi, mình thế không nghĩ nó tủi thân. Ờ, ôi nổi tà, mày may vậy lắm. Mày cứ nhẵm, chả biết ai nhầm đâu.</t>
  </si>
  <si>
    <t>3f72b9ef-2d60-4a40-b51b-cccb15066765</t>
  </si>
  <si>
    <t>e44b1bff-aa88-4268-9e0b-af0deb6806c6</t>
  </si>
  <si>
    <t>VỀ NHÀ ĐI CON - Tập 52 | Phim Bộ Tình Cảm Gia Đình Hay Nhất 2025 | Phim Việt Nam Bất Hủ</t>
  </si>
  <si>
    <t>VỀ NHÀ ĐI CON - Tập 52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</si>
  <si>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qE7R24FCTjE#1</t>
  </si>
  <si>
    <t>Cái gì đấy, sắp được hôn Trung Quốc rồi thì chị lại làm em tỉnh.</t>
  </si>
  <si>
    <t>8c34e11e-0dae-4e1e-9717-c4caf5f039bd</t>
  </si>
  <si>
    <t>2d617e4b-e472-47fe-a5af-b24349ff9772</t>
  </si>
  <si>
    <t>VỀ NHÀ ĐI CON - Tập 53 | Phim Bộ Tình Cảm Gia Đình Hay Nhất 2025 | Phim Việt Nam Bất Hủ</t>
  </si>
  <si>
    <t>VỀ NHÀ ĐI CON - Tập 53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</si>
  <si>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qE7R24FCTjE#2</t>
  </si>
  <si>
    <t>Thiện đường con qua công ty mà đưa bố đến đấy, xong con đi làm. Cả con nữa, em ở nhà, chị đi chợ rồi em ở nhà nấu cơm, tí nữa bố về còn có cái mà ăn chứ. Không, em đi với Ú cho con đi. Sao lằng nhằng thế nhở? Thôi được rồi, đi ra gọi taxi đi. À, ông Vũ, ông ý hứa là khi nào bố tháo bột ông mới qua đón bố cơ mà. Anh ấy bận bao nhiêu việc mà.</t>
  </si>
  <si>
    <t>d07c28f1-81df-4bfb-bda5-a1186efa71bf</t>
  </si>
  <si>
    <t>qE7R24FCTjE#3</t>
  </si>
  <si>
    <t>Cho một ly cà phê đầu đất nha. Chị cũng chỉ làm công việc tạp vụ thôi đấy, việc hậu cần đấy, ai làm mà chả được. Ui dời, chị Huệ thì phải khác chứ. Không, sếp. Ờ thì đúng sai cũng tùy người thôi. Về đi làm đi, về đi làm đi. Chào chép ạ.</t>
  </si>
  <si>
    <t>b9079d95-aa69-4ff1-b22e-2ee796d2d4b4</t>
  </si>
  <si>
    <t>qE7R24FCTjE#4</t>
  </si>
  <si>
    <t>Này, dạ, tôi không định đổ lỗi cho Diệu về việc tối ngày hôm qua. Tôi biết là tôi đã thiếu kiềm chế, nhưng nếu tôi làm cho cô khó chịu thì tôi xin lỗi nhé. Tôi không những khó chịu mà còn khó xử nữa, nên tôi hy vọng rằng trong thời gian sắp tới đây, nếu tôi còn làm việc ở công ty thì việc đó sẽ không bao giờ lặp lại nữa.</t>
  </si>
  <si>
    <t>e91e64e0-393c-453c-b9c9-b2346ff3224c</t>
  </si>
  <si>
    <t>GearnxCkf3w#1</t>
  </si>
  <si>
    <t>Ăn này, ăn cháo nhá. Chị xuống nấu cho. Thôi, để em. Hôm nay ta giới phục vụ cậu, nhưng mà chỉ hôm nay thôi đấy. Bao giờ bố cậu về, chồng biết không? Biết á, bố con kiểu gì đấy? Bố bao giờ đi công tác vậy? Cũng không biết.</t>
  </si>
  <si>
    <t>6ad638f2-1279-4b9e-84c1-bb537cc49ea7</t>
  </si>
  <si>
    <t>8ce45ae6-295f-4400-a146-dd4379c7fe69</t>
  </si>
  <si>
    <t>VỀ NHÀ ĐI CON - Tập 54 | Phim Bộ Tình Cảm Gia Đình Hay Nhất 2025 | Phim Việt Nam Bất Hủ</t>
  </si>
  <si>
    <t>VỀ NHÀ ĐI CON - Tập 54 | Phim Bộ Tình Cảm Gia Đình Hay Nhất 2025 | Phim Việt Nam Bất Hủ
► Phố Trong Làng: https://www.youtube.com/playlist?list=PLBXLcd_VlESPVNVJL_r4-Ac6Lr4gjyacU
► Ngược Chiều Nước Mắt:  https://www.youtube.com/playlist?list=PLBXLcd_VlESM7oylepCPWOH0ZdEczBjul
► Hương Vị Tình Thân: https://www.youtube.com/playlist?list=PLBXLcd_VlESMid3_tPFlQgrtOJGe8Ae0R
► Dưới Bóng Cây Hạnh Phúc: https://www.youtube.com/playlist?list=PLBXLcd_VlESPi0sgg74uqPSBoHkYkKIxO
► Sống Chung Với Mẹ Chồng: https://www.youtube.com/playlist?list=PLBXLcd_VlESOcki1MsqiHM3TzSQtH4VQe
► Đi Qua Mùa Hạ: https://www.youtube.com/playlist?list=PLBXLcd_VlESPUsM2mNEzRGsYZvesqSiwM
☘️ VTV Phim Việt Xưa - Kênh Youtube tổng hợp những phim của Đài Truyền Hình Việt Nam VTV
☘️Kênh phát sóng những bộ phim Việt Nam hay, đặc sắc, đa dạng các thể loại khác nhau như: Phim Tình Cảm, Phim Tâm Lý Xã Hội, Phim Hành Động, Phim Hình Sự,... được phát sóng trên Đài Truyền Hình Việt Nam được đông đảo khán giả ở mọi lứa tuổi đón nhận.
📌Đón xem nhiều nội dung hấp dẫn: https://www.youtube.com/@VTVPhimVietXua
#VTVPhimViệtXưa
#PhimVTV 
#Vềnhàđicon
#PhimViệtNamVTV 
#PhimHayVTV
----------------------------------
© Bản quyền thuộc về VTV Phim Việt Xưa
© Copyright by VTV Phim Việt Xưa  ❌  Do not Reup</t>
  </si>
  <si>
    <t>GearnxCkf3w#2</t>
  </si>
  <si>
    <t>Dương Dương, Trung Quốc, Trung Quốc về hả? Thì em quá đà rồi đấy. Nhau ai cho phép em tự ý vượt đây đi ra ngoài? Chị nói đi ra ngoài, chị không đồng ý em như thế này đâu. Nhanh nhanh lên.</t>
  </si>
  <si>
    <t>fc312f7b-4c42-42fb-b81c-b7c31480c09e</t>
  </si>
  <si>
    <t>GearnxCkf3w#3</t>
  </si>
  <si>
    <t>Ui dồi ôi, gì đấy? Em làm mẹ khó thật, chị ạ. Vắn nết bẩn nết hết cả rồi. Đi vào trong nhà vệ sinh rửa đi, ở đây chị lau cho. Nàng, không được, em phải nắm bắt cơ hội này để ghi điểm chứ. Được rồi, để chị làm khán giả vậy. Chị ơi, hai lời để em lên trên bảo như nào?</t>
  </si>
  <si>
    <t>248507bc-1132-4226-91a8-6215faba10f7</t>
  </si>
  <si>
    <t>GearnxCkf3w#4</t>
  </si>
  <si>
    <t>Chú đã bảo là chú đưa về rồi mà. Chị ý, chị gọi taxi rồi thì chị cũng phải để em chào chú một câu chứ. Ôi, sao nay chị gọi em dậy muộn thế? Em ngủ chảy cả dãi, mất hết cả hình tượng. Thì chú Quốc về đột ngột, chị có biết đâu. Nhưng mà dù sao hôm nay em cũng đã ghi điểm rồi, đúng không?</t>
  </si>
  <si>
    <t>b5a2053e-3719-4d15-be9e-a9d1f4a8abdb</t>
  </si>
  <si>
    <t>GearnxCkf3w#5</t>
  </si>
  <si>
    <t>Ôi, em mà nói thế này ý, có khi anh phải bắt ngay em mới để làm việc sát cánh của anh mới được. Miễn anh trả lương cho em cao là được. Ui, lương chuyện nhỏ. Anh với ông Vũ chưa bao giờ để cho phụ nữ thiệt thòi đâu. Thật thế à? Em lại thấy anh với ông Vũ chấp nhặt, hơn thua với phụ nữ từng tí một đi chứ. Thế nhân chứng sống là em đây. Ok, có vẻ như là bắt một người phụ nữ mà quên đi những cái gì đã găm vào trong lòng có vẻ hơi bị khó nhờ? Đúng.</t>
  </si>
  <si>
    <t>b55ca26d-47ef-47c2-b61b-a8ddfd2fdcf1</t>
  </si>
  <si>
    <t>GearnxCkf3w#6</t>
  </si>
  <si>
    <t>Ra ăn cháo đấy con hả? Để bố xem nào. Cũng đỡ sốt rồi đấy, nhưng mà con phải cố ăn hết bát cháo này để còn uống thuốc. Uống thuốc là phải uống hết liều, nếu không nhờn đấy con ạ. Ăn đi con.
Con biết rồi ạ. Mà tự nhiên bố cứ như gà mái mẹ ý nhỉ?
Thì bố là trụ cột gia đình, là gà trống đấy. Thế mà có được gáy đâu, suốt ngày phải chăm sóc cho anh. Có khác gì gà mái đâu?
Bây giờ anh lớn rồi, anh phải cố gắng tự chăm sóc cho bản thân để bố còn có thời gian đi gáy.</t>
  </si>
  <si>
    <t>4734091a-9743-4d10-9941-12a1b857bf16</t>
  </si>
  <si>
    <t>GearnxCkf3w#7</t>
  </si>
  <si>
    <t>Mà bây giờ con chỉ muốn ốm thôi, mở mắt dậy là giai nhân vây quanh. Có khi Dương lo cho con thật. Búa chị Huệ, nó ăn còn ngon nữa cơ. Chị Huệ nó ngon à? Vâng, thế con ăn đi.</t>
  </si>
  <si>
    <t>c9ec8f96-66f7-4739-b6eb-722a0ef3b3c5</t>
  </si>
  <si>
    <t>GearnxCkf3w#8</t>
  </si>
  <si>
    <t>Gọi không, để em gọi. Thì đây đang gọi đây. Chiều em ấy, em biết khổ quá. Thôi tắt loa đi, có gì em đòi cho đỡ mất mặt.</t>
  </si>
  <si>
    <t>fe75606b-cc76-485a-ac57-6cd8d5705f5e</t>
  </si>
  <si>
    <t>Cô thôi ấy, còn tôi là cái loại hạ cấp trong xã hội, làm sao sánh với cành vàng lá ngọc nhà cô? Anh đang nói gì đấy? Tôi nghe hết chuyện tối nay cô nói rồi. Rất sâu sắc. Cái gì mà những người không cùng trình độ này, không cùng một lối sống, không cùng một quan điểm này, không cùng một suy nghĩ này? Cô đang nói về em cô hay cô đang nói về tôi và cô ấy. Hừ, rớt gan rớt ruột thế rồi mà thôi, đừng có suy diễn nữa, chả hiểu ý.</t>
  </si>
  <si>
    <t>Con có sợ mùi gì nữa không? Để hằng ngày nấu cơm, bố tránh ra. Con chẳng biết, chắc là cứ phải trải nghiệm từ từ bố. Thế này ăn được này. Ăn được hả? Mai chị lại làm.</t>
  </si>
  <si>
    <t>Anh ơi, để tôi với cháu Dương đưa anh về nhé, chứ ở đây gió máy lắm, nguy hiểm anh ạ. Đi bố ơi? Dạ, tôi đi. Phương nhìn thấy mẹ rồi, cứ rút gió tôi đi về. Gớm thế em nào? Thôi, tôi đi về.</t>
  </si>
  <si>
    <t>Ăn cháo nhé. Ăn một miếng đi ngon cực. Thế bây giờ chơi xong rồi sẽ ăn.</t>
  </si>
  <si>
    <t>Được rồi, sao trông mặt bà Huệ rất gian? Tao chắc chắn là sắp có biến. Chị đánh răng đi đã, khiếp quá.</t>
  </si>
  <si>
    <t>Con có chuyện gì đấy hả bố? Sao thế bố? Nhà bác Luật sang đây bây giờ đấy, để nói chuyện về việc của bọn con.</t>
  </si>
  <si>
    <t>Xuống quét dọn, chuẩn bị nước nôi cho bố. Nhanh lên, còn đứng đấy à? Nhanh lên! Nhưng mà gặp phải làm gì hở, bố? Chuyện hệ trọng của con, có thể nào cũng phải quyết một lần thôi con.</t>
  </si>
  <si>
    <t>Hễ cứ nghĩ là nhà bên ấy sẽ đồng ý, mẹ chuẩn bị tất tần tật, nhưng giờ thì mày thấy chưa, mày tưởng người ta báu mày lắm à? Hễ thì cũng phải giả bộ làm màu làm mè chút xíu chứ, bố. Chứ lẽ bây giờ mình hỏi cưới bên đó, ok, chấp nhận liền thì quê quá đúng không? Mày đúng là cái loại không tiêu hóa được. Chứ giờ bố muốn con phải làm sao đây hả? Không lẽ giờ bắt con bi lụy, van xin quỳ lạy à? Mọi việc đã đến nước này rồi, nóng nảy cũng chẳng làm được cái gì. Cháu của mẹ bây giờ nằm trong bụng, nhưng mà nó biết tủi thân rồi đấy.</t>
  </si>
  <si>
    <t>Làm cái gì đây? Tiền ông anh vay cả cục ấy tiền lãi không trả anh có một lời ăn cám à không biết điều. Bọn này xích lại cái xe này nha. Mang ví ra đây. Hôm nay mà không đủ tiền lãi là không xong bọn này đâu được có sáu triệu tám anh ạ. Các cậu ơi cậu bảo cuối.</t>
  </si>
  <si>
    <t>Với cả chị đặt thêm hai hộp chả cá nữa. Hôm đấy em hết hàng rồi hả? Hết rồi á? Ờ, thế thôi. Chán chuyện hết pa tê mất rồi anh ạ. Ăn gì bây giờ nhở? Anh thích ăn pizza hay bò bít tết? Tùy em đấy. Tùy em, tùy em mà lúc nào cũng đòi ăn.</t>
  </si>
  <si>
    <t>Bác sĩ nói em bé làm sao rồi? À đây ạ, bác sĩ bảo em bé vẫn ổn định, chỉ dặn cháu là nhớ khám sức khỏe định kỳ với lại bổ sung thêm canxi ạ. Nè, có nghén nhiều không? Có gì thì báo bác nha. Dạ không ạ, cháu chỉ hơi sợ, cháo với cả mùi đồ ngọt, còn lại vẫn ăn được ạ. Con phải giữ gìn sức khỏe nhé.</t>
  </si>
  <si>
    <t>Còn việc cưới xin, hai bác sẽ lo. Thằng kia đâu rồi, vẫn còn đang ở trên phòng á. Để lên kêu nó. Nó đây, nó đây.</t>
  </si>
  <si>
    <t>Cô, cho cháu chai nước lần trước để con này say lật lưỡi nằm ở quán, không chịu ngó ngàng gì. Con đã gọi để em ghé. Tôi không say, một sự danh giới gì đâu này. Chị có tiền à? Không có đâu, đừng có hỏi. Nhưng mà chị có xoay đâu được không? Vay nóng.</t>
  </si>
  <si>
    <t>Đáng lên này, tại sao đấy không lấy cái tiệm tiệm cái chó? Này ông đỏ nhất quả đất đấy nhé. Cái bọn mà cho vay nóng hôm nọ á bị tóm hết cả rồi. Đừng có đùa dai này. Ai thèm đùa? Con này mà đùa là con chó.</t>
  </si>
  <si>
    <t>Vừa mới bỏ ra khen một tí, đã kêu rồi. Giờ này anh đây làm gì? Không đi đổ hàng, chị mày đâu? Chắc đi ship hàng đấy. Dạo gần đây, cái thằng kia nó qua đây? Nhắc mới nhớ dạo này.</t>
  </si>
  <si>
    <t>Chị ơi, tính tiền cho em cặp nhẫn này nhé. Chị có muốn khắc tên em, ngày tháng gì không? Ờ, không, chị cứ để trơn đi cho nó dễ... Dễ gì? Dễ bán hay dễ cầm cố? Anh cứ hiểu đơn giản như là dễ tháo.</t>
  </si>
  <si>
    <t>Anh lại tự ý đổi phòng thế? Nhưng việc anh làm khiến em khó chịu đến thế, không muốn gặp phiền phức nữa thôi. Được rồi, em về phòng nghỉ ngơi đi. Anh hứa sẽ không can thiệp vào bất cứ chuyện gì của em nữa. Đưa cho em số tài khoản em trả lại tiền viện phí cho anh.</t>
  </si>
  <si>
    <t>Dương Dương Dương Dương gì đấy? Ơ, chị Huệ kìa. Sao chị em nhà cậu bí hiểm đấy? Lắm chuyện… Ê, đến lớp đi. Nếu mà tớ đến muộn ý, nhớ điểm danh cho tớ nhé.</t>
  </si>
  <si>
    <t>Ui, em gọi mãi chị không được ấy. Chị tắt máy mà, mà chị máu lạnh thật đấy, lặn mất tăm luôn. Xong, tự nhiên gọi điện cho em giật cả mình. Bố thế nào rồi.</t>
  </si>
  <si>
    <t>Bố ơi, con đi lên tòa với chị nhá Không, không, không cần thiết đâu. Đến giờ bố còn dửng dưng được ạ? Cứ để chị con tự giải quyết việc của mình. Ngay cả bố mà anh ta còn tống tiền được, chẳng có chuyện gì anh ta không dám làm với chị con cả. Có những thứ không tự vượt qua được thì không bước tiếp được.</t>
  </si>
  <si>
    <t>Cháu xin lỗi cô. Hôm trước cháu nói chuyện với cô mà cháu không suy nghĩ gì. Cô đừng giận cháu nhé. Không cần đâu. Hôm trước chị cô cũng tới đây rồi. Cô ơi, cô ơi, cô cho cháu mua một bó hoa cúc ạ. Cô lấy mẫu này cho lạ nhá. Cô ơi, cho cháu một bó.</t>
  </si>
  <si>
    <t>Bố. Gì? Dương nói bố có bạn gái có thật không ạ? Thế con muốn bố có bạn gái không? Con thì con muốn bố có bạn gái để Dương đỡ phải tơ tưởng về bố nữa. Nhưng mà con trông bố chẳng có dấu hiệu gì của việc đang có bạn gái cả.</t>
  </si>
  <si>
    <t>Cái gì đấy, sắp được hôn chú Quốc rồi thì chị lại làm em tỉnh.</t>
  </si>
  <si>
    <t>Tiện đường con qua công ty mà đưa bố đến đấy, xong con đi làm. Cả con nữa, em ở nhà, chị đi chợ rồi em ở nhà nấu cơm, tí nữa bố về còn có cái mà ăn chứ. Không, em đi với, bố cho con đi. Sao lằng nhằng thế nhở? Thôi được rồi, đi ra gọi taxi đi. À, ông Vũ, ông ý hứa là khi nào bố tháo bột ông ấy qua đón bố cơ mà. Anh ấy bận bao nhiêu việc mà.</t>
  </si>
  <si>
    <t>Ăn này, ăn cháo nhá. Chị xuống nấu cho. Thôi, để em. Hôm nay ta giới phục vụ cậu, nhưng mà chỉ hôm nay thôi đấy. Bao giờ bố cậu về. Chẳng biết. Không biết á, bố con kiểu gì đấy? Bố bao giờ đi công tác về cũng không biết.</t>
  </si>
  <si>
    <t>Dương Dương, chú Quốc, chú Quốc về hả chị. Em quá đà rồi đấy nhá. Ai cho phép em tự ý vào đây. Đi ra ngoài? Chị nói đi ra ngoài, chị không đồng ý em như thế này đâu. Nhanh nhanh lên.</t>
  </si>
  <si>
    <t>Ra ăn cháo đi con hả? Để bố xem nào. Cũng đỡ sốt rồi đấy, nhưng mà con phải cố ăn hết bát cháo này để còn uống thuốc. Uống thuốc là phải uống hết liều, nếu không nhờn đấy con ạ. Ăn đi con._x000D_
_x000D_
Con biết rồi ạ. Mà tự nhiên bố cứ như gà mái mẹ ý nhỉ?_x000D_
_x000D_
Thì bố là trụ cột gia đình, là gà trống đấy. Thế mà có được gáy đâu, suốt ngày phải chăm sóc cho anh. Có khác gì gà mái đâu?_x000D_
_x000D_
Bây giờ anh lớn rồi, anh phải cố gắng tự chăm sóc cho bản thân để bố còn có thời gian đi gáy.</t>
  </si>
  <si>
    <t>Mà bây giờ con chỉ muốn ốm thôi, mở mắt dậy là giai nhân vây quanh. Có khi Dương lo cho con thật bố. Chị Huệ, nấu ăn còn ngon nữa cơ. Chị Huệ nấu ngon à? Vâng, thế con ăn đi.</t>
  </si>
  <si>
    <t>Gọi không, để em gọi. Thì đây đang gọi đây. Chiều em ấy, em biết khổ quá. Thôi bật loa đi, có gì em đòi cho đỡ mất mặt.</t>
  </si>
  <si>
    <t>anger</t>
  </si>
  <si>
    <t>neutral</t>
  </si>
  <si>
    <t>uncertain</t>
  </si>
  <si>
    <t>joy</t>
  </si>
  <si>
    <t>sadness</t>
  </si>
  <si>
    <t>anger|fear</t>
  </si>
  <si>
    <t>fear</t>
  </si>
  <si>
    <t>anger|sadness</t>
  </si>
  <si>
    <t>anger|uncertain</t>
  </si>
  <si>
    <t>neutral|sadness</t>
  </si>
  <si>
    <t>sadness|uncertain</t>
  </si>
  <si>
    <t>n_ai</t>
  </si>
  <si>
    <t>n_manual</t>
  </si>
  <si>
    <t>p_ai = n_ai / N</t>
  </si>
  <si>
    <t>p_manual = n_manual / N</t>
  </si>
  <si>
    <t>contribution = p_ai × p_manual</t>
  </si>
  <si>
    <t>p_e=\sum_{i=1}^{N} p_{AI}(i)p_{Manual}(i)</t>
  </si>
  <si>
    <t>category</t>
  </si>
  <si>
    <t>Total</t>
  </si>
  <si>
    <t>Total Evaluated Segments</t>
  </si>
  <si>
    <t>Exact Label-Set Matches</t>
  </si>
  <si>
    <t>Exact Label-Set Match Rate (pₒ)</t>
  </si>
  <si>
    <t>Expected Agreement by Chance (pₑ)</t>
  </si>
  <si>
    <t>Cohen's Kappa (κ)</t>
  </si>
  <si>
    <t>Exact Transcript Matches</t>
  </si>
  <si>
    <t>Exact Transcript Match Rate</t>
  </si>
  <si>
    <t>AI-Generated Word Count</t>
  </si>
  <si>
    <t>Reference Word Count</t>
  </si>
  <si>
    <t>Matched Words</t>
  </si>
  <si>
    <t>Word Substitutions</t>
  </si>
  <si>
    <t>Word Match Rate</t>
  </si>
  <si>
    <t>Word Error Rate (WER)</t>
  </si>
  <si>
    <t>Word Insertions</t>
  </si>
  <si>
    <t>Word Deleteions</t>
  </si>
  <si>
    <t>Total Manual Annotation Time (s)</t>
  </si>
  <si>
    <t>Total AI-Assisted Annotation Time (s)</t>
  </si>
  <si>
    <t>Absolute Time Savings (s)</t>
  </si>
  <si>
    <t>Relative Time Reduction (%)</t>
  </si>
  <si>
    <t>Annotation Speedup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</si>
</sst>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3" fontId="0" fillId="0" borderId="0" xfId="0" applyNumberFormat="1"/>
    <xf numFmtId="0" fontId="0" fillId="2" borderId="0" xfId="0" applyFill="1"/>
    <xf numFmtId="3" fontId="0" fillId="2" borderId="0" xfId="0" applyNumberFormat="1" applyFill="1"/>
    <xf numFmtId="0" fontId="0" fillId="2" borderId="0" xfId="0" quotePrefix="1" applyFill="1"/>
    <xf numFmtId="0" fontId="0" fillId="0" borderId="0" xfId="0" applyNumberFormat="1"/>
    <xf numFmtId="167" fontId="0" fillId="0" borderId="0" xfId="0" applyNumberFormat="1"/>
    <xf numFmtId="2" fontId="0" fillId="0" borderId="0" xfId="0" applyNumberFormat="1"/>
    <xf numFmtId="1" fontId="0" fillId="0" borderId="0" xfId="0" applyNumberFormat="1"/>
    <xf numFmtId="0" fontId="0" fillId="0" borderId="0" xfId="0" applyAlignment="1">
      <alignment horizontal="left"/>
    </xf>
  </cellXfs>
  <cellStyles count="1">
    <cellStyle name="Normal" xfId="0" builtinId="0"/>
  </cellStyles>
  <dxfs count="31">
    <dxf>
      <numFmt numFmtId="167" formatCode="0.0000"/>
    </dxf>
    <dxf>
      <numFmt numFmtId="167" formatCode="0.0000"/>
    </dxf>
    <dxf>
      <numFmt numFmtId="167" formatCode="0.0000"/>
    </dxf>
    <dxf>
      <numFmt numFmtId="167" formatCode="0.0000"/>
    </dxf>
    <dxf>
      <numFmt numFmtId="167" formatCode="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4</xdr:row>
      <xdr:rowOff>88900</xdr:rowOff>
    </xdr:from>
    <xdr:to>
      <xdr:col>6</xdr:col>
      <xdr:colOff>584200</xdr:colOff>
      <xdr:row>8</xdr:row>
      <xdr:rowOff>63500</xdr:rowOff>
    </xdr:to>
    <xdr:pic>
      <xdr:nvPicPr>
        <xdr:cNvPr id="3" name="Picture 2">
          <a:extLst>
            <a:ext uri="{FF2B5EF4-FFF2-40B4-BE49-F238E27FC236}">
              <a16:creationId xmlns:a16="http://schemas.microsoft.com/office/drawing/2014/main" id="{DD3DF53E-E2B9-DE5C-7D44-294269A9389C}"/>
            </a:ext>
          </a:extLst>
        </xdr:cNvPr>
        <xdr:cNvPicPr>
          <a:picLocks noChangeAspect="1"/>
        </xdr:cNvPicPr>
      </xdr:nvPicPr>
      <xdr:blipFill>
        <a:blip xmlns:r="http://schemas.openxmlformats.org/officeDocument/2006/relationships" r:embed="rId1"/>
        <a:stretch>
          <a:fillRect/>
        </a:stretch>
      </xdr:blipFill>
      <xdr:spPr>
        <a:xfrm>
          <a:off x="4419600" y="901700"/>
          <a:ext cx="2946400" cy="787400"/>
        </a:xfrm>
        <a:prstGeom prst="rect">
          <a:avLst/>
        </a:prstGeom>
      </xdr:spPr>
    </xdr:pic>
    <xdr:clientData/>
  </xdr:twoCellAnchor>
  <xdr:twoCellAnchor editAs="oneCell">
    <xdr:from>
      <xdr:col>3</xdr:col>
      <xdr:colOff>330200</xdr:colOff>
      <xdr:row>17</xdr:row>
      <xdr:rowOff>12700</xdr:rowOff>
    </xdr:from>
    <xdr:to>
      <xdr:col>12</xdr:col>
      <xdr:colOff>25400</xdr:colOff>
      <xdr:row>65</xdr:row>
      <xdr:rowOff>118492</xdr:rowOff>
    </xdr:to>
    <xdr:pic>
      <xdr:nvPicPr>
        <xdr:cNvPr id="4" name="Picture 3">
          <a:extLst>
            <a:ext uri="{FF2B5EF4-FFF2-40B4-BE49-F238E27FC236}">
              <a16:creationId xmlns:a16="http://schemas.microsoft.com/office/drawing/2014/main" id="{E2649F7E-6D44-2AC2-ABC8-7CBD8DA2CCF4}"/>
            </a:ext>
          </a:extLst>
        </xdr:cNvPr>
        <xdr:cNvPicPr>
          <a:picLocks noChangeAspect="1"/>
        </xdr:cNvPicPr>
      </xdr:nvPicPr>
      <xdr:blipFill>
        <a:blip xmlns:r="http://schemas.openxmlformats.org/officeDocument/2006/relationships" r:embed="rId2"/>
        <a:stretch>
          <a:fillRect/>
        </a:stretch>
      </xdr:blipFill>
      <xdr:spPr>
        <a:xfrm>
          <a:off x="5321300" y="3060700"/>
          <a:ext cx="7772400" cy="9859392"/>
        </a:xfrm>
        <a:prstGeom prst="rect">
          <a:avLst/>
        </a:prstGeom>
      </xdr:spPr>
    </xdr:pic>
    <xdr:clientData/>
  </xdr:twoCellAnchor>
  <xdr:twoCellAnchor editAs="oneCell">
    <xdr:from>
      <xdr:col>12</xdr:col>
      <xdr:colOff>876300</xdr:colOff>
      <xdr:row>17</xdr:row>
      <xdr:rowOff>12700</xdr:rowOff>
    </xdr:from>
    <xdr:to>
      <xdr:col>19</xdr:col>
      <xdr:colOff>596900</xdr:colOff>
      <xdr:row>56</xdr:row>
      <xdr:rowOff>191582</xdr:rowOff>
    </xdr:to>
    <xdr:pic>
      <xdr:nvPicPr>
        <xdr:cNvPr id="5" name="Picture 4">
          <a:extLst>
            <a:ext uri="{FF2B5EF4-FFF2-40B4-BE49-F238E27FC236}">
              <a16:creationId xmlns:a16="http://schemas.microsoft.com/office/drawing/2014/main" id="{0A38B8F1-62AC-0D47-425A-F29247760614}"/>
            </a:ext>
          </a:extLst>
        </xdr:cNvPr>
        <xdr:cNvPicPr>
          <a:picLocks noChangeAspect="1"/>
        </xdr:cNvPicPr>
      </xdr:nvPicPr>
      <xdr:blipFill>
        <a:blip xmlns:r="http://schemas.openxmlformats.org/officeDocument/2006/relationships" r:embed="rId3"/>
        <a:stretch>
          <a:fillRect/>
        </a:stretch>
      </xdr:blipFill>
      <xdr:spPr>
        <a:xfrm>
          <a:off x="13944600" y="3060700"/>
          <a:ext cx="7772400" cy="810368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06B99A-73CC-FD4D-9235-1B73A5719E7A}" autoFormatId="16" applyNumberFormats="0" applyBorderFormats="0" applyFontFormats="0" applyPatternFormats="0" applyAlignmentFormats="0" applyWidthHeightFormats="0">
  <queryTableRefresh nextId="18">
    <queryTableFields count="17">
      <queryTableField id="1" name="segment_key" tableColumnId="1"/>
      <queryTableField id="2" name="segment_index" tableColumnId="2"/>
      <queryTableField id="3" name="youtube_video_id" tableColumnId="3"/>
      <queryTableField id="4" name="start_seconds" tableColumnId="4"/>
      <queryTableField id="5" name="end_seconds" tableColumnId="5"/>
      <queryTableField id="6" name="definition_revision" tableColumnId="6"/>
      <queryTableField id="7" name="transcript" tableColumnId="7"/>
      <queryTableField id="8" name="labels" tableColumnId="8"/>
      <queryTableField id="9" name="split" tableColumnId="9"/>
      <queryTableField id="10" name="processing_status" tableColumnId="10"/>
      <queryTableField id="11" name="deleted_at" tableColumnId="11"/>
      <queryTableField id="12" name="segment_id" tableColumnId="12"/>
      <queryTableField id="13" name="source_id" tableColumnId="13"/>
      <queryTableField id="14" name="youtube_url" tableColumnId="14"/>
      <queryTableField id="15" name="title" tableColumnId="15"/>
      <queryTableField id="16" name="description" tableColumnId="16"/>
      <queryTableField id="17" name="text_span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5639769-A04A-5147-BD54-97DECCFD75EE}" autoFormatId="16" applyNumberFormats="0" applyBorderFormats="0" applyFontFormats="0" applyPatternFormats="0" applyAlignmentFormats="0" applyWidthHeightFormats="0">
  <queryTableRefresh nextId="18">
    <queryTableFields count="17">
      <queryTableField id="1" name="segment_key" tableColumnId="1"/>
      <queryTableField id="2" name="segment_index" tableColumnId="2"/>
      <queryTableField id="3" name="youtube_video_id" tableColumnId="3"/>
      <queryTableField id="4" name="start_seconds" tableColumnId="4"/>
      <queryTableField id="5" name="end_seconds" tableColumnId="5"/>
      <queryTableField id="6" name="definition_revision" tableColumnId="6"/>
      <queryTableField id="7" name="transcript" tableColumnId="7"/>
      <queryTableField id="8" name="labels" tableColumnId="8"/>
      <queryTableField id="9" name="split" tableColumnId="9"/>
      <queryTableField id="10" name="processing_status" tableColumnId="10"/>
      <queryTableField id="11" name="deleted_at" tableColumnId="11"/>
      <queryTableField id="12" name="segment_id" tableColumnId="12"/>
      <queryTableField id="13" name="source_id" tableColumnId="13"/>
      <queryTableField id="14" name="youtube_url" tableColumnId="14"/>
      <queryTableField id="15" name="title" tableColumnId="15"/>
      <queryTableField id="16" name="description" tableColumnId="16"/>
      <queryTableField id="17" name="text_spans"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A59AC5-539A-BA46-B9E8-09BE59376788}" name="Speech_Emotion_csv_segments__2" displayName="Speech_Emotion_csv_segments__2" ref="A1:Q61" tableType="queryTable" totalsRowShown="0">
  <autoFilter ref="A1:Q61" xr:uid="{04A59AC5-539A-BA46-B9E8-09BE59376788}"/>
  <tableColumns count="17">
    <tableColumn id="1" xr3:uid="{2A6C79EA-FECC-1A4F-B8E5-38425DE9E678}" uniqueName="1" name="segment_key" queryTableFieldId="1" dataDxfId="30"/>
    <tableColumn id="2" xr3:uid="{F93246C4-8BC2-C04B-A570-6AC183F9B4FA}" uniqueName="2" name="segment_index" queryTableFieldId="2"/>
    <tableColumn id="3" xr3:uid="{B08C6261-06EE-9546-ADBA-E233F2426A03}" uniqueName="3" name="youtube_video_id" queryTableFieldId="3" dataDxfId="29"/>
    <tableColumn id="4" xr3:uid="{23459E53-840C-5248-A4E9-A30BEC0C746D}" uniqueName="4" name="start_seconds" queryTableFieldId="4"/>
    <tableColumn id="5" xr3:uid="{8C197309-7023-C54A-911C-4C0285617D5C}" uniqueName="5" name="end_seconds" queryTableFieldId="5"/>
    <tableColumn id="6" xr3:uid="{ED333E08-9270-F549-A25F-1E2CB62F7C3F}" uniqueName="6" name="definition_revision" queryTableFieldId="6"/>
    <tableColumn id="7" xr3:uid="{D5401AB9-DA61-B444-99A0-2D0D004BF48F}" uniqueName="7" name="transcript" queryTableFieldId="7" dataDxfId="28"/>
    <tableColumn id="8" xr3:uid="{D9AE0EC8-27BA-FC41-822C-D9AB8557B274}" uniqueName="8" name="labels" queryTableFieldId="8" dataDxfId="27"/>
    <tableColumn id="9" xr3:uid="{B3D0E02E-A633-C94F-9B7D-F65535D880B2}" uniqueName="9" name="split" queryTableFieldId="9" dataDxfId="26"/>
    <tableColumn id="10" xr3:uid="{C1CCA61E-E2AD-4041-9FC6-3B5D5006603F}" uniqueName="10" name="processing_status" queryTableFieldId="10" dataDxfId="25"/>
    <tableColumn id="11" xr3:uid="{297CDCE6-8B87-3845-863C-C1D664F2F8EB}" uniqueName="11" name="deleted_at" queryTableFieldId="11" dataDxfId="24"/>
    <tableColumn id="12" xr3:uid="{F254E282-F593-1640-8835-0BEF0B5C412B}" uniqueName="12" name="segment_id" queryTableFieldId="12" dataDxfId="23"/>
    <tableColumn id="13" xr3:uid="{E82B8E2D-76F2-7049-A28B-ACEB25DFE74D}" uniqueName="13" name="source_id" queryTableFieldId="13" dataDxfId="22"/>
    <tableColumn id="14" xr3:uid="{6ECFE1AE-4477-7E46-AC78-CDE9FF6D83C5}" uniqueName="14" name="youtube_url" queryTableFieldId="14" dataDxfId="21"/>
    <tableColumn id="15" xr3:uid="{A8ED7BF8-6ABA-0D4E-A9ED-051AE567F926}" uniqueName="15" name="title" queryTableFieldId="15" dataDxfId="20"/>
    <tableColumn id="16" xr3:uid="{A7BDFADD-7173-EB4F-B66B-00F5586FA4AB}" uniqueName="16" name="description" queryTableFieldId="16" dataDxfId="19"/>
    <tableColumn id="17" xr3:uid="{4009E4C6-11B7-B447-A036-18F391A49B9E}" uniqueName="17" name="text_spans" queryTableFieldId="17"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B7A3A2-D47E-F14F-9E96-B04BB2DBD12A}" name="Speech_Emotion_csv_segments__4" displayName="Speech_Emotion_csv_segments__4" ref="A1:Q61" tableType="queryTable" totalsRowShown="0">
  <autoFilter ref="A1:Q61" xr:uid="{A9B7A3A2-D47E-F14F-9E96-B04BB2DBD12A}"/>
  <tableColumns count="17">
    <tableColumn id="1" xr3:uid="{9A036A76-6A44-1548-8EA9-FC20D3473EF1}" uniqueName="1" name="segment_key" queryTableFieldId="1" dataDxfId="17"/>
    <tableColumn id="2" xr3:uid="{57B172DF-7336-2B4C-A449-F99BE4A0842F}" uniqueName="2" name="segment_index" queryTableFieldId="2"/>
    <tableColumn id="3" xr3:uid="{85307EDE-374C-C042-BA65-DCC27C80CA87}" uniqueName="3" name="youtube_video_id" queryTableFieldId="3" dataDxfId="16"/>
    <tableColumn id="4" xr3:uid="{E7C29587-810D-4B44-BF75-43D50BE12786}" uniqueName="4" name="start_seconds" queryTableFieldId="4"/>
    <tableColumn id="5" xr3:uid="{096DC691-4135-8C49-96F3-8CB030B13C1E}" uniqueName="5" name="end_seconds" queryTableFieldId="5"/>
    <tableColumn id="6" xr3:uid="{3B3A5215-69EE-7D44-9114-AC522BD269EF}" uniqueName="6" name="definition_revision" queryTableFieldId="6"/>
    <tableColumn id="7" xr3:uid="{0D863758-ED04-CE4B-B4F5-2721D9865B5A}" uniqueName="7" name="transcript" queryTableFieldId="7" dataDxfId="15"/>
    <tableColumn id="8" xr3:uid="{85133220-D827-5B4B-977E-C4AD4C3232D0}" uniqueName="8" name="labels" queryTableFieldId="8" dataDxfId="14"/>
    <tableColumn id="9" xr3:uid="{1E12024E-1C0E-534A-A2CD-CBE093C928A6}" uniqueName="9" name="split" queryTableFieldId="9" dataDxfId="13"/>
    <tableColumn id="10" xr3:uid="{CF1065DB-1ED3-A94C-9EE2-B0216A03A418}" uniqueName="10" name="processing_status" queryTableFieldId="10" dataDxfId="12"/>
    <tableColumn id="11" xr3:uid="{C8FE1D1C-FD4F-0E46-981B-416E5D05159F}" uniqueName="11" name="deleted_at" queryTableFieldId="11" dataDxfId="11"/>
    <tableColumn id="12" xr3:uid="{D526EF53-5C79-8A43-A126-5D50CA8C3067}" uniqueName="12" name="segment_id" queryTableFieldId="12" dataDxfId="10"/>
    <tableColumn id="13" xr3:uid="{E26F6378-414E-A840-9DC3-7F270417A374}" uniqueName="13" name="source_id" queryTableFieldId="13" dataDxfId="9"/>
    <tableColumn id="14" xr3:uid="{4B6A8AD7-AAF7-F347-835A-D7CC5FFF2839}" uniqueName="14" name="youtube_url" queryTableFieldId="14" dataDxfId="8"/>
    <tableColumn id="15" xr3:uid="{6CD34CF0-D49B-BD48-BC1B-33012074B7CB}" uniqueName="15" name="title" queryTableFieldId="15" dataDxfId="7"/>
    <tableColumn id="16" xr3:uid="{03715DCA-8B6F-4A44-93B5-A693C611ECE5}" uniqueName="16" name="description" queryTableFieldId="16" dataDxfId="6"/>
    <tableColumn id="17" xr3:uid="{B8F462EF-4A25-2E4D-B588-3758FB11D4B4}" uniqueName="17" name="text_spans" queryTableFieldId="17"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B91184-5905-A844-9508-1C51A1C0C325}" name="Table6" displayName="Table6" ref="A2:B6" headerRowCount="0" totalsRowShown="0">
  <tableColumns count="2">
    <tableColumn id="1" xr3:uid="{E234E87D-78F7-4C49-9F64-BA0849001BF4}" name="Column1"/>
    <tableColumn id="2" xr3:uid="{D456D59A-0EEA-B34F-A572-372E6D4A3EC7}" name="Column2" dataDxfId="4"/>
  </tableColumns>
  <tableStyleInfo name="TableStyleLight19" showFirstColumn="1" showLastColumn="0" showRowStripes="0"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B1AA54-95A9-D44E-AF22-EEB843EFBA24}" name="Table7" displayName="Table7" ref="A10:B20" headerRowCount="0" totalsRowShown="0">
  <tableColumns count="2">
    <tableColumn id="1" xr3:uid="{9C3526A6-FF2C-7C47-AA25-A5C7845F8098}" name="Column1"/>
    <tableColumn id="2" xr3:uid="{65FDE980-FBD4-7047-B369-C1B4C2B14354}" name="Column2"/>
  </tableColumns>
  <tableStyleInfo name="TableStyleLight19" showFirstColumn="1" showLastColumn="0" showRowStripes="0"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D93374-75DE-E042-B87D-8DE867EF9B0B}" name="Table8" displayName="Table8" ref="I1:N14" totalsRowCount="1">
  <autoFilter ref="I1:N13" xr:uid="{12D93374-75DE-E042-B87D-8DE867EF9B0B}"/>
  <tableColumns count="6">
    <tableColumn id="1" xr3:uid="{77A671DF-8FA7-B64B-990D-B8FD7D1A110B}" name="category" totalsRowLabel="Total"/>
    <tableColumn id="2" xr3:uid="{08D29898-AA78-6745-844C-BF839884DD90}" name="n_ai"/>
    <tableColumn id="3" xr3:uid="{1A5F9129-8804-B142-A8F1-FC3BDC4E63AF}" name="n_manual"/>
    <tableColumn id="4" xr3:uid="{B36D9A10-4E66-CD42-9A6C-675638E37BBC}" name="p_ai = n_ai / N" dataDxfId="3"/>
    <tableColumn id="5" xr3:uid="{8C4E7F7B-8C4C-914F-BD6E-4F7F203C6098}" name="p_manual = n_manual / N" dataDxfId="2"/>
    <tableColumn id="6" xr3:uid="{812ED61B-B20F-B740-868D-A0DBFCF9937B}" name="contribution = p_ai × p_manual" totalsRowFunction="sum" dataDxfId="1" totalsRowDxfId="0"/>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930067-75D6-C74A-BB98-D3D194A91E12}" name="Table9" displayName="Table9" ref="A24:B28" headerRowCount="0" totalsRowShown="0">
  <tableColumns count="2">
    <tableColumn id="1" xr3:uid="{D15BD35A-9712-AF40-9777-3C56EAAF232E}" name="Column1"/>
    <tableColumn id="2" xr3:uid="{4EB2679F-6A7C-9F45-9802-0276D9A3C3DC}" name="Column2"/>
  </tableColumns>
  <tableStyleInfo name="TableStyleLight17" showFirstColumn="1"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8618-AD5B-C747-AC3A-B5621F062AF9}">
  <dimension ref="A1:I61"/>
  <sheetViews>
    <sheetView workbookViewId="0">
      <selection activeCell="K54" sqref="K54:L61"/>
    </sheetView>
  </sheetViews>
  <sheetFormatPr baseColWidth="10" defaultRowHeight="16" x14ac:dyDescent="0.2"/>
  <cols>
    <col min="5" max="5" width="17.1640625"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s="2" t="s">
        <v>13</v>
      </c>
      <c r="F2" s="3">
        <v>757000</v>
      </c>
      <c r="G2" s="3">
        <v>786000</v>
      </c>
      <c r="H2" s="1">
        <v>29000</v>
      </c>
      <c r="I2" t="s">
        <v>14</v>
      </c>
    </row>
    <row r="3" spans="1:9" x14ac:dyDescent="0.2">
      <c r="A3" t="s">
        <v>15</v>
      </c>
      <c r="B3" t="s">
        <v>10</v>
      </c>
      <c r="C3" t="s">
        <v>11</v>
      </c>
      <c r="D3" t="s">
        <v>12</v>
      </c>
      <c r="E3" s="2" t="s">
        <v>13</v>
      </c>
      <c r="F3" s="3">
        <v>922000</v>
      </c>
      <c r="G3" s="3">
        <v>955000</v>
      </c>
      <c r="H3" s="1">
        <v>33000</v>
      </c>
      <c r="I3" t="s">
        <v>16</v>
      </c>
    </row>
    <row r="4" spans="1:9" x14ac:dyDescent="0.2">
      <c r="A4" t="s">
        <v>17</v>
      </c>
      <c r="B4" t="s">
        <v>10</v>
      </c>
      <c r="C4" t="s">
        <v>11</v>
      </c>
      <c r="D4" t="s">
        <v>12</v>
      </c>
      <c r="E4" s="2" t="s">
        <v>13</v>
      </c>
      <c r="F4" s="3">
        <v>1036000</v>
      </c>
      <c r="G4" s="3">
        <v>1054000</v>
      </c>
      <c r="H4" s="1">
        <v>18000</v>
      </c>
      <c r="I4" t="s">
        <v>18</v>
      </c>
    </row>
    <row r="5" spans="1:9" x14ac:dyDescent="0.2">
      <c r="A5" t="s">
        <v>19</v>
      </c>
      <c r="B5" t="s">
        <v>10</v>
      </c>
      <c r="C5" t="s">
        <v>11</v>
      </c>
      <c r="D5" t="s">
        <v>12</v>
      </c>
      <c r="E5" s="2" t="s">
        <v>13</v>
      </c>
      <c r="F5" s="3">
        <v>1056000</v>
      </c>
      <c r="G5" s="3">
        <v>1073000</v>
      </c>
      <c r="H5" s="1">
        <v>17000</v>
      </c>
      <c r="I5" t="s">
        <v>20</v>
      </c>
    </row>
    <row r="6" spans="1:9" x14ac:dyDescent="0.2">
      <c r="A6" t="s">
        <v>21</v>
      </c>
      <c r="B6" t="s">
        <v>10</v>
      </c>
      <c r="C6" t="s">
        <v>11</v>
      </c>
      <c r="D6" t="s">
        <v>12</v>
      </c>
      <c r="E6" s="2" t="s">
        <v>13</v>
      </c>
      <c r="F6" s="3">
        <v>1101000</v>
      </c>
      <c r="G6" s="3">
        <v>1121000</v>
      </c>
      <c r="H6" s="1">
        <v>20000</v>
      </c>
      <c r="I6" t="s">
        <v>22</v>
      </c>
    </row>
    <row r="7" spans="1:9" x14ac:dyDescent="0.2">
      <c r="A7" t="s">
        <v>23</v>
      </c>
      <c r="B7" t="s">
        <v>10</v>
      </c>
      <c r="C7" t="s">
        <v>11</v>
      </c>
      <c r="D7" t="s">
        <v>24</v>
      </c>
      <c r="E7" t="s">
        <v>25</v>
      </c>
      <c r="F7" s="1">
        <v>1129000</v>
      </c>
      <c r="G7" s="1">
        <v>1148000</v>
      </c>
      <c r="H7" s="1">
        <v>19000</v>
      </c>
      <c r="I7" t="s">
        <v>26</v>
      </c>
    </row>
    <row r="8" spans="1:9" x14ac:dyDescent="0.2">
      <c r="A8" t="s">
        <v>27</v>
      </c>
      <c r="B8" t="s">
        <v>10</v>
      </c>
      <c r="C8" t="s">
        <v>11</v>
      </c>
      <c r="D8" t="s">
        <v>28</v>
      </c>
      <c r="E8" s="2" t="s">
        <v>29</v>
      </c>
      <c r="F8" s="3">
        <v>856000</v>
      </c>
      <c r="G8" s="3">
        <v>873000</v>
      </c>
      <c r="H8" s="1">
        <v>17000</v>
      </c>
      <c r="I8" t="s">
        <v>30</v>
      </c>
    </row>
    <row r="9" spans="1:9" x14ac:dyDescent="0.2">
      <c r="A9" t="s">
        <v>31</v>
      </c>
      <c r="B9" t="s">
        <v>10</v>
      </c>
      <c r="C9" t="s">
        <v>11</v>
      </c>
      <c r="D9" t="s">
        <v>32</v>
      </c>
      <c r="E9" t="s">
        <v>33</v>
      </c>
      <c r="F9" s="1">
        <v>801000</v>
      </c>
      <c r="G9" s="1">
        <v>810000</v>
      </c>
      <c r="H9" s="1">
        <v>9000</v>
      </c>
      <c r="I9" t="s">
        <v>34</v>
      </c>
    </row>
    <row r="10" spans="1:9" x14ac:dyDescent="0.2">
      <c r="A10" t="s">
        <v>35</v>
      </c>
      <c r="B10" t="s">
        <v>10</v>
      </c>
      <c r="C10" t="s">
        <v>11</v>
      </c>
      <c r="D10" t="s">
        <v>32</v>
      </c>
      <c r="E10" t="s">
        <v>33</v>
      </c>
      <c r="F10" s="1">
        <v>1125000</v>
      </c>
      <c r="G10" s="1">
        <v>1138000</v>
      </c>
      <c r="H10" s="1">
        <v>13000</v>
      </c>
      <c r="I10" t="s">
        <v>36</v>
      </c>
    </row>
    <row r="11" spans="1:9" x14ac:dyDescent="0.2">
      <c r="A11" t="s">
        <v>37</v>
      </c>
      <c r="B11" t="s">
        <v>10</v>
      </c>
      <c r="C11" t="s">
        <v>11</v>
      </c>
      <c r="D11" t="s">
        <v>32</v>
      </c>
      <c r="E11" t="s">
        <v>33</v>
      </c>
      <c r="F11" s="1">
        <v>1139000</v>
      </c>
      <c r="G11" s="1">
        <v>1161000</v>
      </c>
      <c r="H11" s="1">
        <v>22000</v>
      </c>
      <c r="I11" t="s">
        <v>38</v>
      </c>
    </row>
    <row r="12" spans="1:9" x14ac:dyDescent="0.2">
      <c r="A12" t="s">
        <v>39</v>
      </c>
      <c r="B12" t="s">
        <v>10</v>
      </c>
      <c r="C12" t="s">
        <v>11</v>
      </c>
      <c r="D12" t="s">
        <v>32</v>
      </c>
      <c r="E12" t="s">
        <v>33</v>
      </c>
      <c r="F12" s="1">
        <v>1181000</v>
      </c>
      <c r="G12" s="1">
        <v>1189000</v>
      </c>
      <c r="H12" s="1">
        <v>8000</v>
      </c>
      <c r="I12" t="s">
        <v>40</v>
      </c>
    </row>
    <row r="13" spans="1:9" x14ac:dyDescent="0.2">
      <c r="A13" t="s">
        <v>41</v>
      </c>
      <c r="B13" t="s">
        <v>10</v>
      </c>
      <c r="C13" t="s">
        <v>11</v>
      </c>
      <c r="D13" t="s">
        <v>32</v>
      </c>
      <c r="E13" t="s">
        <v>33</v>
      </c>
      <c r="F13" s="1">
        <v>1499000</v>
      </c>
      <c r="G13" s="1">
        <v>1514000</v>
      </c>
      <c r="H13" s="1">
        <v>15000</v>
      </c>
      <c r="I13" t="s">
        <v>42</v>
      </c>
    </row>
    <row r="14" spans="1:9" x14ac:dyDescent="0.2">
      <c r="A14" t="s">
        <v>43</v>
      </c>
      <c r="B14" t="s">
        <v>10</v>
      </c>
      <c r="C14" t="s">
        <v>11</v>
      </c>
      <c r="D14" t="s">
        <v>44</v>
      </c>
      <c r="E14" s="2" t="s">
        <v>45</v>
      </c>
      <c r="F14" s="3">
        <v>542000</v>
      </c>
      <c r="G14" s="3">
        <v>553000</v>
      </c>
      <c r="H14" s="1">
        <v>11000</v>
      </c>
      <c r="I14" t="s">
        <v>46</v>
      </c>
    </row>
    <row r="15" spans="1:9" x14ac:dyDescent="0.2">
      <c r="A15" t="s">
        <v>47</v>
      </c>
      <c r="B15" t="s">
        <v>10</v>
      </c>
      <c r="C15" t="s">
        <v>11</v>
      </c>
      <c r="D15" t="s">
        <v>44</v>
      </c>
      <c r="E15" s="2" t="s">
        <v>45</v>
      </c>
      <c r="F15" s="3">
        <v>554000</v>
      </c>
      <c r="G15" s="3">
        <v>578000</v>
      </c>
      <c r="H15" s="1">
        <v>24000</v>
      </c>
      <c r="I15" t="s">
        <v>48</v>
      </c>
    </row>
    <row r="16" spans="1:9" x14ac:dyDescent="0.2">
      <c r="A16" t="s">
        <v>49</v>
      </c>
      <c r="B16" t="s">
        <v>10</v>
      </c>
      <c r="C16" t="s">
        <v>11</v>
      </c>
      <c r="D16" t="s">
        <v>44</v>
      </c>
      <c r="E16" s="2" t="s">
        <v>45</v>
      </c>
      <c r="F16" s="3">
        <v>970000</v>
      </c>
      <c r="G16" s="3">
        <v>1007000</v>
      </c>
      <c r="H16" s="1">
        <v>37000</v>
      </c>
      <c r="I16" t="s">
        <v>50</v>
      </c>
    </row>
    <row r="17" spans="1:9" x14ac:dyDescent="0.2">
      <c r="A17" t="s">
        <v>51</v>
      </c>
      <c r="B17" t="s">
        <v>10</v>
      </c>
      <c r="C17" t="s">
        <v>11</v>
      </c>
      <c r="D17" t="s">
        <v>44</v>
      </c>
      <c r="E17" s="2" t="s">
        <v>45</v>
      </c>
      <c r="F17" s="3">
        <v>1451000</v>
      </c>
      <c r="G17" s="3">
        <v>1473000</v>
      </c>
      <c r="H17" s="1">
        <v>22000</v>
      </c>
      <c r="I17" t="s">
        <v>52</v>
      </c>
    </row>
    <row r="18" spans="1:9" x14ac:dyDescent="0.2">
      <c r="A18" t="s">
        <v>53</v>
      </c>
      <c r="B18" t="s">
        <v>10</v>
      </c>
      <c r="C18" t="s">
        <v>11</v>
      </c>
      <c r="D18" t="s">
        <v>54</v>
      </c>
      <c r="E18" t="s">
        <v>55</v>
      </c>
      <c r="F18" s="1">
        <v>882000</v>
      </c>
      <c r="G18" s="1">
        <v>904000</v>
      </c>
      <c r="H18" s="1">
        <v>22000</v>
      </c>
      <c r="I18" t="s">
        <v>56</v>
      </c>
    </row>
    <row r="19" spans="1:9" x14ac:dyDescent="0.2">
      <c r="A19" t="s">
        <v>57</v>
      </c>
      <c r="B19" t="s">
        <v>10</v>
      </c>
      <c r="C19" t="s">
        <v>11</v>
      </c>
      <c r="D19" t="s">
        <v>54</v>
      </c>
      <c r="E19" t="s">
        <v>55</v>
      </c>
      <c r="F19" s="1">
        <v>965000</v>
      </c>
      <c r="G19" s="1">
        <v>987000</v>
      </c>
      <c r="H19" s="1">
        <v>22000</v>
      </c>
      <c r="I19" t="s">
        <v>58</v>
      </c>
    </row>
    <row r="20" spans="1:9" x14ac:dyDescent="0.2">
      <c r="A20" t="s">
        <v>59</v>
      </c>
      <c r="B20" t="s">
        <v>10</v>
      </c>
      <c r="C20" t="s">
        <v>11</v>
      </c>
      <c r="D20" t="s">
        <v>54</v>
      </c>
      <c r="E20" t="s">
        <v>55</v>
      </c>
      <c r="F20" s="1">
        <v>988000</v>
      </c>
      <c r="G20" s="1">
        <v>1015000</v>
      </c>
      <c r="H20" s="1">
        <v>27000</v>
      </c>
      <c r="I20" t="s">
        <v>60</v>
      </c>
    </row>
    <row r="21" spans="1:9" x14ac:dyDescent="0.2">
      <c r="A21" t="s">
        <v>61</v>
      </c>
      <c r="B21" t="s">
        <v>10</v>
      </c>
      <c r="C21" t="s">
        <v>11</v>
      </c>
      <c r="D21" t="s">
        <v>62</v>
      </c>
      <c r="E21" s="2" t="s">
        <v>63</v>
      </c>
      <c r="F21" s="3">
        <v>718000</v>
      </c>
      <c r="G21" s="3">
        <v>759000</v>
      </c>
      <c r="H21" s="1">
        <v>41000</v>
      </c>
      <c r="I21" t="s">
        <v>64</v>
      </c>
    </row>
    <row r="22" spans="1:9" x14ac:dyDescent="0.2">
      <c r="A22" t="s">
        <v>65</v>
      </c>
      <c r="B22" t="s">
        <v>10</v>
      </c>
      <c r="C22" t="s">
        <v>11</v>
      </c>
      <c r="D22" t="s">
        <v>62</v>
      </c>
      <c r="E22" s="2" t="s">
        <v>63</v>
      </c>
      <c r="F22" s="3">
        <v>762000</v>
      </c>
      <c r="G22" s="3">
        <v>779000</v>
      </c>
      <c r="H22" s="1">
        <v>17000</v>
      </c>
      <c r="I22" t="s">
        <v>66</v>
      </c>
    </row>
    <row r="23" spans="1:9" x14ac:dyDescent="0.2">
      <c r="A23" t="s">
        <v>67</v>
      </c>
      <c r="B23" t="s">
        <v>10</v>
      </c>
      <c r="C23" t="s">
        <v>11</v>
      </c>
      <c r="D23" t="s">
        <v>62</v>
      </c>
      <c r="E23" s="2" t="s">
        <v>63</v>
      </c>
      <c r="F23" s="3">
        <v>1065000</v>
      </c>
      <c r="G23" s="3">
        <v>1093000</v>
      </c>
      <c r="H23" s="1">
        <v>28000</v>
      </c>
      <c r="I23" t="s">
        <v>68</v>
      </c>
    </row>
    <row r="24" spans="1:9" x14ac:dyDescent="0.2">
      <c r="A24" t="s">
        <v>69</v>
      </c>
      <c r="B24" t="s">
        <v>10</v>
      </c>
      <c r="C24" t="s">
        <v>11</v>
      </c>
      <c r="D24" t="s">
        <v>62</v>
      </c>
      <c r="E24" s="2" t="s">
        <v>63</v>
      </c>
      <c r="F24" s="3">
        <v>1093000</v>
      </c>
      <c r="G24" s="3">
        <v>1104000</v>
      </c>
      <c r="H24" s="1">
        <v>11000</v>
      </c>
      <c r="I24" t="s">
        <v>70</v>
      </c>
    </row>
    <row r="25" spans="1:9" x14ac:dyDescent="0.2">
      <c r="A25" t="s">
        <v>71</v>
      </c>
      <c r="B25" t="s">
        <v>10</v>
      </c>
      <c r="C25" t="s">
        <v>11</v>
      </c>
      <c r="D25" t="s">
        <v>62</v>
      </c>
      <c r="E25" s="2" t="s">
        <v>63</v>
      </c>
      <c r="F25" s="3">
        <v>1160000</v>
      </c>
      <c r="G25" s="3">
        <v>1183000</v>
      </c>
      <c r="H25" s="1">
        <v>23000</v>
      </c>
      <c r="I25" t="s">
        <v>72</v>
      </c>
    </row>
    <row r="26" spans="1:9" x14ac:dyDescent="0.2">
      <c r="A26" t="s">
        <v>73</v>
      </c>
      <c r="B26" t="s">
        <v>10</v>
      </c>
      <c r="C26" t="s">
        <v>11</v>
      </c>
      <c r="D26" t="s">
        <v>62</v>
      </c>
      <c r="E26" s="2" t="s">
        <v>63</v>
      </c>
      <c r="F26" s="3">
        <v>1247000</v>
      </c>
      <c r="G26" s="3">
        <v>1290000</v>
      </c>
      <c r="H26" s="1">
        <v>43000</v>
      </c>
      <c r="I26" t="s">
        <v>74</v>
      </c>
    </row>
    <row r="27" spans="1:9" x14ac:dyDescent="0.2">
      <c r="A27" t="s">
        <v>75</v>
      </c>
      <c r="B27" t="s">
        <v>10</v>
      </c>
      <c r="C27" t="s">
        <v>11</v>
      </c>
      <c r="D27" t="s">
        <v>62</v>
      </c>
      <c r="E27" s="2" t="s">
        <v>63</v>
      </c>
      <c r="F27" s="3">
        <v>1513000</v>
      </c>
      <c r="G27" s="3">
        <v>1536000</v>
      </c>
      <c r="H27" s="1">
        <v>23000</v>
      </c>
      <c r="I27" t="s">
        <v>76</v>
      </c>
    </row>
    <row r="28" spans="1:9" x14ac:dyDescent="0.2">
      <c r="A28" t="s">
        <v>77</v>
      </c>
      <c r="B28" t="s">
        <v>10</v>
      </c>
      <c r="C28" t="s">
        <v>11</v>
      </c>
      <c r="D28" t="s">
        <v>62</v>
      </c>
      <c r="E28" s="2" t="s">
        <v>63</v>
      </c>
      <c r="F28" s="3">
        <v>1731000</v>
      </c>
      <c r="G28" s="3">
        <v>1742000</v>
      </c>
      <c r="H28" s="1">
        <v>11000</v>
      </c>
      <c r="I28" t="s">
        <v>78</v>
      </c>
    </row>
    <row r="29" spans="1:9" x14ac:dyDescent="0.2">
      <c r="A29" t="s">
        <v>79</v>
      </c>
      <c r="B29" t="s">
        <v>10</v>
      </c>
      <c r="C29" t="s">
        <v>11</v>
      </c>
      <c r="D29" t="s">
        <v>80</v>
      </c>
      <c r="E29" t="s">
        <v>81</v>
      </c>
      <c r="F29" s="1">
        <v>567000</v>
      </c>
      <c r="G29" s="1">
        <v>586000</v>
      </c>
      <c r="H29" s="1">
        <v>19000</v>
      </c>
      <c r="I29" t="s">
        <v>82</v>
      </c>
    </row>
    <row r="30" spans="1:9" x14ac:dyDescent="0.2">
      <c r="A30" t="s">
        <v>83</v>
      </c>
      <c r="B30" t="s">
        <v>10</v>
      </c>
      <c r="C30" t="s">
        <v>11</v>
      </c>
      <c r="D30" t="s">
        <v>80</v>
      </c>
      <c r="E30" t="s">
        <v>81</v>
      </c>
      <c r="F30" s="1">
        <v>765000</v>
      </c>
      <c r="G30" s="1">
        <v>783000</v>
      </c>
      <c r="H30" s="1">
        <v>18000</v>
      </c>
      <c r="I30" t="s">
        <v>84</v>
      </c>
    </row>
    <row r="31" spans="1:9" x14ac:dyDescent="0.2">
      <c r="A31" t="s">
        <v>85</v>
      </c>
      <c r="B31" t="s">
        <v>10</v>
      </c>
      <c r="C31" t="s">
        <v>11</v>
      </c>
      <c r="D31" t="s">
        <v>80</v>
      </c>
      <c r="E31" t="s">
        <v>81</v>
      </c>
      <c r="F31" s="1">
        <v>1053000</v>
      </c>
      <c r="G31" s="1">
        <v>1068000</v>
      </c>
      <c r="H31" s="1">
        <v>15000</v>
      </c>
      <c r="I31" t="s">
        <v>86</v>
      </c>
    </row>
    <row r="32" spans="1:9" x14ac:dyDescent="0.2">
      <c r="A32" t="s">
        <v>87</v>
      </c>
      <c r="B32" t="s">
        <v>10</v>
      </c>
      <c r="C32" t="s">
        <v>11</v>
      </c>
      <c r="D32" t="s">
        <v>80</v>
      </c>
      <c r="E32" t="s">
        <v>81</v>
      </c>
      <c r="F32" s="1">
        <v>1719000</v>
      </c>
      <c r="G32" s="1">
        <v>1736000</v>
      </c>
      <c r="H32" s="1">
        <v>17000</v>
      </c>
      <c r="I32" t="s">
        <v>88</v>
      </c>
    </row>
    <row r="33" spans="1:9" x14ac:dyDescent="0.2">
      <c r="A33" t="s">
        <v>89</v>
      </c>
      <c r="B33" t="s">
        <v>10</v>
      </c>
      <c r="C33" t="s">
        <v>11</v>
      </c>
      <c r="D33" t="s">
        <v>90</v>
      </c>
      <c r="E33" s="4" t="s">
        <v>168</v>
      </c>
      <c r="F33" s="3">
        <v>1065000</v>
      </c>
      <c r="G33" s="3">
        <v>1094000</v>
      </c>
      <c r="H33" s="1">
        <v>29000</v>
      </c>
      <c r="I33" t="s">
        <v>91</v>
      </c>
    </row>
    <row r="34" spans="1:9" x14ac:dyDescent="0.2">
      <c r="A34" t="s">
        <v>92</v>
      </c>
      <c r="B34" t="s">
        <v>10</v>
      </c>
      <c r="C34" t="s">
        <v>11</v>
      </c>
      <c r="D34" t="s">
        <v>90</v>
      </c>
      <c r="E34" s="4" t="s">
        <v>168</v>
      </c>
      <c r="F34" s="3">
        <v>1128000</v>
      </c>
      <c r="G34" s="3">
        <v>1144000</v>
      </c>
      <c r="H34" s="1">
        <v>16000</v>
      </c>
      <c r="I34" t="s">
        <v>93</v>
      </c>
    </row>
    <row r="35" spans="1:9" x14ac:dyDescent="0.2">
      <c r="A35" t="s">
        <v>94</v>
      </c>
      <c r="B35" t="s">
        <v>10</v>
      </c>
      <c r="C35" t="s">
        <v>11</v>
      </c>
      <c r="D35" t="s">
        <v>90</v>
      </c>
      <c r="E35" s="4" t="s">
        <v>168</v>
      </c>
      <c r="F35" s="3">
        <v>1352000</v>
      </c>
      <c r="G35" s="3">
        <v>1368000</v>
      </c>
      <c r="H35" s="1">
        <v>16000</v>
      </c>
      <c r="I35" t="s">
        <v>95</v>
      </c>
    </row>
    <row r="36" spans="1:9" x14ac:dyDescent="0.2">
      <c r="A36" t="s">
        <v>96</v>
      </c>
      <c r="B36" t="s">
        <v>10</v>
      </c>
      <c r="C36" t="s">
        <v>11</v>
      </c>
      <c r="D36" t="s">
        <v>97</v>
      </c>
      <c r="E36" t="s">
        <v>98</v>
      </c>
      <c r="F36" s="1">
        <v>417000</v>
      </c>
      <c r="G36" s="1">
        <v>435000</v>
      </c>
      <c r="H36" s="1">
        <v>18000</v>
      </c>
      <c r="I36" t="s">
        <v>99</v>
      </c>
    </row>
    <row r="37" spans="1:9" x14ac:dyDescent="0.2">
      <c r="A37" t="s">
        <v>100</v>
      </c>
      <c r="B37" t="s">
        <v>10</v>
      </c>
      <c r="C37" t="s">
        <v>11</v>
      </c>
      <c r="D37" t="s">
        <v>97</v>
      </c>
      <c r="E37" t="s">
        <v>98</v>
      </c>
      <c r="F37" s="1">
        <v>575000</v>
      </c>
      <c r="G37" s="1">
        <v>613000</v>
      </c>
      <c r="H37" s="1">
        <v>38000</v>
      </c>
      <c r="I37" t="s">
        <v>101</v>
      </c>
    </row>
    <row r="38" spans="1:9" x14ac:dyDescent="0.2">
      <c r="A38" t="s">
        <v>102</v>
      </c>
      <c r="B38" t="s">
        <v>10</v>
      </c>
      <c r="C38" t="s">
        <v>11</v>
      </c>
      <c r="D38" t="s">
        <v>97</v>
      </c>
      <c r="E38" t="s">
        <v>98</v>
      </c>
      <c r="F38" s="1">
        <v>1715000</v>
      </c>
      <c r="G38" s="1">
        <v>1733000</v>
      </c>
      <c r="H38" s="1">
        <v>18000</v>
      </c>
      <c r="I38" t="s">
        <v>103</v>
      </c>
    </row>
    <row r="39" spans="1:9" x14ac:dyDescent="0.2">
      <c r="A39" t="s">
        <v>104</v>
      </c>
      <c r="B39" t="s">
        <v>10</v>
      </c>
      <c r="C39" t="s">
        <v>11</v>
      </c>
      <c r="D39" t="s">
        <v>105</v>
      </c>
      <c r="E39" s="2" t="s">
        <v>106</v>
      </c>
      <c r="F39" s="3">
        <v>1038000</v>
      </c>
      <c r="G39" s="3">
        <v>1061000</v>
      </c>
      <c r="H39" s="1">
        <v>23000</v>
      </c>
      <c r="I39" t="s">
        <v>107</v>
      </c>
    </row>
    <row r="40" spans="1:9" x14ac:dyDescent="0.2">
      <c r="A40" t="s">
        <v>108</v>
      </c>
      <c r="B40" t="s">
        <v>10</v>
      </c>
      <c r="C40" t="s">
        <v>11</v>
      </c>
      <c r="D40" t="s">
        <v>105</v>
      </c>
      <c r="E40" s="2" t="s">
        <v>106</v>
      </c>
      <c r="F40" s="3">
        <v>1134000</v>
      </c>
      <c r="G40" s="3">
        <v>1155000</v>
      </c>
      <c r="H40" s="1">
        <v>21000</v>
      </c>
      <c r="I40" t="s">
        <v>109</v>
      </c>
    </row>
    <row r="41" spans="1:9" x14ac:dyDescent="0.2">
      <c r="A41" t="s">
        <v>110</v>
      </c>
      <c r="B41" t="s">
        <v>10</v>
      </c>
      <c r="C41" t="s">
        <v>11</v>
      </c>
      <c r="D41" t="s">
        <v>111</v>
      </c>
      <c r="E41" t="s">
        <v>112</v>
      </c>
      <c r="F41" s="1">
        <v>405000</v>
      </c>
      <c r="G41" s="1">
        <v>419000</v>
      </c>
      <c r="H41" s="1">
        <v>14000</v>
      </c>
      <c r="I41" t="s">
        <v>113</v>
      </c>
    </row>
    <row r="42" spans="1:9" x14ac:dyDescent="0.2">
      <c r="A42" t="s">
        <v>114</v>
      </c>
      <c r="B42" t="s">
        <v>10</v>
      </c>
      <c r="C42" t="s">
        <v>11</v>
      </c>
      <c r="D42" t="s">
        <v>111</v>
      </c>
      <c r="E42" t="s">
        <v>112</v>
      </c>
      <c r="F42" s="1">
        <v>423000</v>
      </c>
      <c r="G42" s="1">
        <v>441000</v>
      </c>
      <c r="H42" s="1">
        <v>18000</v>
      </c>
      <c r="I42" t="s">
        <v>115</v>
      </c>
    </row>
    <row r="43" spans="1:9" x14ac:dyDescent="0.2">
      <c r="A43" t="s">
        <v>116</v>
      </c>
      <c r="B43" t="s">
        <v>10</v>
      </c>
      <c r="C43" t="s">
        <v>11</v>
      </c>
      <c r="D43" t="s">
        <v>111</v>
      </c>
      <c r="E43" t="s">
        <v>112</v>
      </c>
      <c r="F43" s="1">
        <v>1485000</v>
      </c>
      <c r="G43" s="1">
        <v>1503000</v>
      </c>
      <c r="H43" s="1">
        <v>18000</v>
      </c>
      <c r="I43" t="s">
        <v>117</v>
      </c>
    </row>
    <row r="44" spans="1:9" x14ac:dyDescent="0.2">
      <c r="A44" t="s">
        <v>118</v>
      </c>
      <c r="B44" t="s">
        <v>10</v>
      </c>
      <c r="C44" t="s">
        <v>11</v>
      </c>
      <c r="D44" t="s">
        <v>119</v>
      </c>
      <c r="E44" s="2" t="s">
        <v>120</v>
      </c>
      <c r="F44" s="3">
        <v>923000</v>
      </c>
      <c r="G44" s="3">
        <v>947000</v>
      </c>
      <c r="H44" s="1">
        <v>24000</v>
      </c>
      <c r="I44" t="s">
        <v>121</v>
      </c>
    </row>
    <row r="45" spans="1:9" x14ac:dyDescent="0.2">
      <c r="A45" t="s">
        <v>122</v>
      </c>
      <c r="B45" t="s">
        <v>10</v>
      </c>
      <c r="C45" t="s">
        <v>11</v>
      </c>
      <c r="D45" t="s">
        <v>123</v>
      </c>
      <c r="E45" t="s">
        <v>124</v>
      </c>
      <c r="F45" s="1">
        <v>385000</v>
      </c>
      <c r="G45" s="1">
        <v>405000</v>
      </c>
      <c r="H45" s="1">
        <v>20000</v>
      </c>
      <c r="I45" t="s">
        <v>125</v>
      </c>
    </row>
    <row r="46" spans="1:9" x14ac:dyDescent="0.2">
      <c r="A46" t="s">
        <v>126</v>
      </c>
      <c r="B46" t="s">
        <v>10</v>
      </c>
      <c r="C46" t="s">
        <v>11</v>
      </c>
      <c r="D46" t="s">
        <v>127</v>
      </c>
      <c r="E46" s="2" t="s">
        <v>128</v>
      </c>
      <c r="F46" s="3">
        <v>1424000</v>
      </c>
      <c r="G46" s="3">
        <v>1460000</v>
      </c>
      <c r="H46" s="1">
        <v>36000</v>
      </c>
      <c r="I46" t="s">
        <v>129</v>
      </c>
    </row>
    <row r="47" spans="1:9" x14ac:dyDescent="0.2">
      <c r="A47" t="s">
        <v>130</v>
      </c>
      <c r="B47" t="s">
        <v>10</v>
      </c>
      <c r="C47" t="s">
        <v>11</v>
      </c>
      <c r="D47" t="s">
        <v>131</v>
      </c>
      <c r="E47" t="s">
        <v>132</v>
      </c>
      <c r="F47" s="1">
        <v>1251000</v>
      </c>
      <c r="G47" s="1">
        <v>1268000</v>
      </c>
      <c r="H47" s="1">
        <v>17000</v>
      </c>
      <c r="I47" t="s">
        <v>133</v>
      </c>
    </row>
    <row r="48" spans="1:9" x14ac:dyDescent="0.2">
      <c r="A48" t="s">
        <v>134</v>
      </c>
      <c r="B48" t="s">
        <v>10</v>
      </c>
      <c r="C48" t="s">
        <v>11</v>
      </c>
      <c r="D48" t="s">
        <v>131</v>
      </c>
      <c r="E48" t="s">
        <v>132</v>
      </c>
      <c r="F48" s="1">
        <v>1547000</v>
      </c>
      <c r="G48" s="1">
        <v>1565000</v>
      </c>
      <c r="H48" s="1">
        <v>18000</v>
      </c>
      <c r="I48" t="s">
        <v>135</v>
      </c>
    </row>
    <row r="49" spans="1:9" x14ac:dyDescent="0.2">
      <c r="A49" t="s">
        <v>136</v>
      </c>
      <c r="B49" t="s">
        <v>10</v>
      </c>
      <c r="C49" t="s">
        <v>11</v>
      </c>
      <c r="D49" t="s">
        <v>137</v>
      </c>
      <c r="E49" s="2" t="s">
        <v>138</v>
      </c>
      <c r="F49" s="3">
        <v>1636000</v>
      </c>
      <c r="G49" s="3">
        <v>1652000</v>
      </c>
      <c r="H49" s="1">
        <v>16000</v>
      </c>
      <c r="I49" t="s">
        <v>139</v>
      </c>
    </row>
    <row r="50" spans="1:9" x14ac:dyDescent="0.2">
      <c r="A50" t="s">
        <v>140</v>
      </c>
      <c r="B50" t="s">
        <v>10</v>
      </c>
      <c r="C50" t="s">
        <v>11</v>
      </c>
      <c r="D50" t="s">
        <v>141</v>
      </c>
      <c r="E50" t="s">
        <v>142</v>
      </c>
      <c r="F50" s="1">
        <v>1255000</v>
      </c>
      <c r="G50" s="1">
        <v>1275000</v>
      </c>
      <c r="H50" s="1">
        <v>20000</v>
      </c>
      <c r="I50" t="s">
        <v>143</v>
      </c>
    </row>
    <row r="51" spans="1:9" x14ac:dyDescent="0.2">
      <c r="A51" t="s">
        <v>144</v>
      </c>
      <c r="B51" t="s">
        <v>10</v>
      </c>
      <c r="C51" t="s">
        <v>11</v>
      </c>
      <c r="D51" t="s">
        <v>141</v>
      </c>
      <c r="E51" t="s">
        <v>142</v>
      </c>
      <c r="F51" s="1">
        <v>1375000</v>
      </c>
      <c r="G51" s="1">
        <v>1399000</v>
      </c>
      <c r="H51" s="1">
        <v>24000</v>
      </c>
      <c r="I51" t="s">
        <v>145</v>
      </c>
    </row>
    <row r="52" spans="1:9" x14ac:dyDescent="0.2">
      <c r="A52" t="s">
        <v>146</v>
      </c>
      <c r="B52" t="s">
        <v>10</v>
      </c>
      <c r="C52" t="s">
        <v>11</v>
      </c>
      <c r="D52" t="s">
        <v>141</v>
      </c>
      <c r="E52" t="s">
        <v>142</v>
      </c>
      <c r="F52" s="1">
        <v>1559000</v>
      </c>
      <c r="G52" s="1">
        <v>1579000</v>
      </c>
      <c r="H52" s="1">
        <v>20000</v>
      </c>
      <c r="I52" t="s">
        <v>147</v>
      </c>
    </row>
    <row r="53" spans="1:9" x14ac:dyDescent="0.2">
      <c r="A53" t="s">
        <v>148</v>
      </c>
      <c r="B53" t="s">
        <v>10</v>
      </c>
      <c r="C53" t="s">
        <v>11</v>
      </c>
      <c r="D53" t="s">
        <v>141</v>
      </c>
      <c r="E53" t="s">
        <v>142</v>
      </c>
      <c r="F53" s="1">
        <v>1588000</v>
      </c>
      <c r="G53" s="1">
        <v>1618000</v>
      </c>
      <c r="H53" s="1">
        <v>30000</v>
      </c>
      <c r="I53" t="s">
        <v>149</v>
      </c>
    </row>
    <row r="54" spans="1:9" x14ac:dyDescent="0.2">
      <c r="A54" t="s">
        <v>150</v>
      </c>
      <c r="B54" t="s">
        <v>10</v>
      </c>
      <c r="C54" t="s">
        <v>11</v>
      </c>
      <c r="D54" t="s">
        <v>151</v>
      </c>
      <c r="E54" s="2" t="s">
        <v>152</v>
      </c>
      <c r="F54" s="3">
        <v>999000</v>
      </c>
      <c r="G54" s="3">
        <v>1021000</v>
      </c>
      <c r="H54" s="1">
        <v>22000</v>
      </c>
      <c r="I54" t="s">
        <v>153</v>
      </c>
    </row>
    <row r="55" spans="1:9" x14ac:dyDescent="0.2">
      <c r="A55" t="s">
        <v>154</v>
      </c>
      <c r="B55" t="s">
        <v>10</v>
      </c>
      <c r="C55" t="s">
        <v>11</v>
      </c>
      <c r="D55" t="s">
        <v>151</v>
      </c>
      <c r="E55" s="2" t="s">
        <v>152</v>
      </c>
      <c r="F55" s="3">
        <v>1153000</v>
      </c>
      <c r="G55" s="3">
        <v>1181000</v>
      </c>
      <c r="H55" s="1">
        <v>28000</v>
      </c>
      <c r="I55" t="s">
        <v>155</v>
      </c>
    </row>
    <row r="56" spans="1:9" x14ac:dyDescent="0.2">
      <c r="A56" t="s">
        <v>156</v>
      </c>
      <c r="B56" t="s">
        <v>10</v>
      </c>
      <c r="C56" t="s">
        <v>11</v>
      </c>
      <c r="D56" t="s">
        <v>151</v>
      </c>
      <c r="E56" s="2" t="s">
        <v>152</v>
      </c>
      <c r="F56" s="3">
        <v>1213000</v>
      </c>
      <c r="G56" s="3">
        <v>1239000</v>
      </c>
      <c r="H56" s="1">
        <v>26000</v>
      </c>
      <c r="I56" t="s">
        <v>157</v>
      </c>
    </row>
    <row r="57" spans="1:9" x14ac:dyDescent="0.2">
      <c r="A57" t="s">
        <v>158</v>
      </c>
      <c r="B57" t="s">
        <v>10</v>
      </c>
      <c r="C57" t="s">
        <v>11</v>
      </c>
      <c r="D57" t="s">
        <v>151</v>
      </c>
      <c r="E57" s="2" t="s">
        <v>152</v>
      </c>
      <c r="F57" s="3">
        <v>1528000</v>
      </c>
      <c r="G57" s="3">
        <v>1547000</v>
      </c>
      <c r="H57" s="1">
        <v>19000</v>
      </c>
      <c r="I57" t="s">
        <v>159</v>
      </c>
    </row>
    <row r="58" spans="1:9" x14ac:dyDescent="0.2">
      <c r="A58" t="s">
        <v>160</v>
      </c>
      <c r="B58" t="s">
        <v>10</v>
      </c>
      <c r="C58" t="s">
        <v>11</v>
      </c>
      <c r="D58" t="s">
        <v>151</v>
      </c>
      <c r="E58" s="2" t="s">
        <v>152</v>
      </c>
      <c r="F58" s="3">
        <v>1730000</v>
      </c>
      <c r="G58" s="3">
        <v>1769000</v>
      </c>
      <c r="H58" s="1">
        <v>39000</v>
      </c>
      <c r="I58" t="s">
        <v>161</v>
      </c>
    </row>
    <row r="59" spans="1:9" x14ac:dyDescent="0.2">
      <c r="A59" t="s">
        <v>162</v>
      </c>
      <c r="B59" t="s">
        <v>10</v>
      </c>
      <c r="C59" t="s">
        <v>11</v>
      </c>
      <c r="D59" t="s">
        <v>151</v>
      </c>
      <c r="E59" s="2" t="s">
        <v>152</v>
      </c>
      <c r="F59" s="3">
        <v>1781000</v>
      </c>
      <c r="G59" s="3">
        <v>1816000</v>
      </c>
      <c r="H59" s="1">
        <v>35000</v>
      </c>
      <c r="I59" t="s">
        <v>163</v>
      </c>
    </row>
    <row r="60" spans="1:9" x14ac:dyDescent="0.2">
      <c r="A60" t="s">
        <v>164</v>
      </c>
      <c r="B60" t="s">
        <v>10</v>
      </c>
      <c r="C60" t="s">
        <v>11</v>
      </c>
      <c r="D60" t="s">
        <v>151</v>
      </c>
      <c r="E60" s="2" t="s">
        <v>152</v>
      </c>
      <c r="F60" s="3">
        <v>1817000</v>
      </c>
      <c r="G60" s="3">
        <v>1831000</v>
      </c>
      <c r="H60" s="1">
        <v>14000</v>
      </c>
      <c r="I60" t="s">
        <v>165</v>
      </c>
    </row>
    <row r="61" spans="1:9" x14ac:dyDescent="0.2">
      <c r="A61" t="s">
        <v>166</v>
      </c>
      <c r="B61" t="s">
        <v>10</v>
      </c>
      <c r="C61" t="s">
        <v>11</v>
      </c>
      <c r="D61" t="s">
        <v>151</v>
      </c>
      <c r="E61" s="2" t="s">
        <v>152</v>
      </c>
      <c r="F61" s="3">
        <v>1907000</v>
      </c>
      <c r="G61" s="3">
        <v>1919000</v>
      </c>
      <c r="H61" s="1">
        <v>12000</v>
      </c>
      <c r="I61"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A348-2933-0944-B610-210835C6DB72}">
  <dimension ref="A1:Q61"/>
  <sheetViews>
    <sheetView workbookViewId="0">
      <selection activeCell="H69" sqref="H69"/>
    </sheetView>
  </sheetViews>
  <sheetFormatPr baseColWidth="10" defaultRowHeight="16" x14ac:dyDescent="0.2"/>
  <cols>
    <col min="1" max="1" width="14.83203125" bestFit="1" customWidth="1"/>
    <col min="2" max="2" width="16.1640625" bestFit="1" customWidth="1"/>
    <col min="3" max="3" width="17.6640625" bestFit="1" customWidth="1"/>
    <col min="4" max="4" width="15.5" bestFit="1" customWidth="1"/>
    <col min="5" max="5" width="14.5" bestFit="1" customWidth="1"/>
    <col min="6" max="6" width="19" bestFit="1" customWidth="1"/>
    <col min="7" max="7" width="80.6640625" bestFit="1" customWidth="1"/>
    <col min="8" max="8" width="17" bestFit="1" customWidth="1"/>
    <col min="9" max="9" width="7.33203125" bestFit="1" customWidth="1"/>
    <col min="10" max="10" width="19.1640625" bestFit="1" customWidth="1"/>
    <col min="11" max="11" width="12.33203125" bestFit="1" customWidth="1"/>
    <col min="12" max="13" width="36.5" bestFit="1" customWidth="1"/>
    <col min="14" max="14" width="43.1640625" bestFit="1" customWidth="1"/>
    <col min="15" max="15" width="77" hidden="1" customWidth="1"/>
    <col min="16" max="16" width="80.6640625" hidden="1" customWidth="1"/>
    <col min="17" max="17" width="12.6640625" bestFit="1" customWidth="1"/>
  </cols>
  <sheetData>
    <row r="1" spans="1:17" x14ac:dyDescent="0.2">
      <c r="A1" t="s">
        <v>169</v>
      </c>
      <c r="B1" t="s">
        <v>170</v>
      </c>
      <c r="C1" t="s">
        <v>171</v>
      </c>
      <c r="D1" t="s">
        <v>172</v>
      </c>
      <c r="E1" t="s">
        <v>173</v>
      </c>
      <c r="F1" t="s">
        <v>174</v>
      </c>
      <c r="G1" t="s">
        <v>175</v>
      </c>
      <c r="H1" t="s">
        <v>176</v>
      </c>
      <c r="I1" t="s">
        <v>177</v>
      </c>
      <c r="J1" t="s">
        <v>178</v>
      </c>
      <c r="K1" t="s">
        <v>179</v>
      </c>
      <c r="L1" t="s">
        <v>0</v>
      </c>
      <c r="M1" t="s">
        <v>180</v>
      </c>
      <c r="N1" t="s">
        <v>181</v>
      </c>
      <c r="O1" t="s">
        <v>182</v>
      </c>
      <c r="P1" t="s">
        <v>183</v>
      </c>
      <c r="Q1" t="s">
        <v>184</v>
      </c>
    </row>
    <row r="2" spans="1:17" x14ac:dyDescent="0.2">
      <c r="A2" s="5" t="s">
        <v>185</v>
      </c>
      <c r="B2">
        <v>1</v>
      </c>
      <c r="C2" s="5" t="s">
        <v>13</v>
      </c>
      <c r="D2">
        <v>757</v>
      </c>
      <c r="E2">
        <v>786</v>
      </c>
      <c r="F2">
        <v>1</v>
      </c>
      <c r="G2" s="5" t="s">
        <v>186</v>
      </c>
      <c r="H2" s="5" t="s">
        <v>187</v>
      </c>
      <c r="I2" s="5" t="s">
        <v>188</v>
      </c>
      <c r="J2" s="5" t="s">
        <v>189</v>
      </c>
      <c r="K2" s="5" t="s">
        <v>190</v>
      </c>
      <c r="L2" s="5" t="s">
        <v>191</v>
      </c>
      <c r="M2" s="5" t="s">
        <v>192</v>
      </c>
      <c r="N2" s="5" t="s">
        <v>12</v>
      </c>
      <c r="O2" s="5" t="s">
        <v>193</v>
      </c>
      <c r="P2" s="5" t="s">
        <v>194</v>
      </c>
      <c r="Q2" s="5" t="s">
        <v>195</v>
      </c>
    </row>
    <row r="3" spans="1:17" x14ac:dyDescent="0.2">
      <c r="A3" s="5" t="s">
        <v>196</v>
      </c>
      <c r="B3">
        <v>2</v>
      </c>
      <c r="C3" s="5" t="s">
        <v>13</v>
      </c>
      <c r="D3">
        <v>922</v>
      </c>
      <c r="E3">
        <v>955</v>
      </c>
      <c r="F3">
        <v>1</v>
      </c>
      <c r="G3" s="5" t="s">
        <v>197</v>
      </c>
      <c r="H3" s="5" t="s">
        <v>198</v>
      </c>
      <c r="I3" s="5" t="s">
        <v>188</v>
      </c>
      <c r="J3" s="5" t="s">
        <v>189</v>
      </c>
      <c r="K3" s="5" t="s">
        <v>190</v>
      </c>
      <c r="L3" s="5" t="s">
        <v>199</v>
      </c>
      <c r="M3" s="5" t="s">
        <v>192</v>
      </c>
      <c r="N3" s="5" t="s">
        <v>12</v>
      </c>
      <c r="O3" s="5" t="s">
        <v>193</v>
      </c>
      <c r="P3" s="5" t="s">
        <v>194</v>
      </c>
      <c r="Q3" s="5" t="s">
        <v>195</v>
      </c>
    </row>
    <row r="4" spans="1:17" x14ac:dyDescent="0.2">
      <c r="A4" s="5" t="s">
        <v>200</v>
      </c>
      <c r="B4">
        <v>3</v>
      </c>
      <c r="C4" s="5" t="s">
        <v>13</v>
      </c>
      <c r="D4">
        <v>1036</v>
      </c>
      <c r="E4">
        <v>1054</v>
      </c>
      <c r="F4">
        <v>1</v>
      </c>
      <c r="G4" s="5" t="s">
        <v>201</v>
      </c>
      <c r="H4" s="5" t="s">
        <v>187</v>
      </c>
      <c r="I4" s="5" t="s">
        <v>188</v>
      </c>
      <c r="J4" s="5" t="s">
        <v>189</v>
      </c>
      <c r="K4" s="5" t="s">
        <v>190</v>
      </c>
      <c r="L4" s="5" t="s">
        <v>202</v>
      </c>
      <c r="M4" s="5" t="s">
        <v>192</v>
      </c>
      <c r="N4" s="5" t="s">
        <v>12</v>
      </c>
      <c r="O4" s="5" t="s">
        <v>193</v>
      </c>
      <c r="P4" s="5" t="s">
        <v>194</v>
      </c>
      <c r="Q4" s="5" t="s">
        <v>195</v>
      </c>
    </row>
    <row r="5" spans="1:17" x14ac:dyDescent="0.2">
      <c r="A5" s="5" t="s">
        <v>203</v>
      </c>
      <c r="B5">
        <v>4</v>
      </c>
      <c r="C5" s="5" t="s">
        <v>13</v>
      </c>
      <c r="D5">
        <v>1056</v>
      </c>
      <c r="E5">
        <v>1073</v>
      </c>
      <c r="F5">
        <v>1</v>
      </c>
      <c r="G5" s="5" t="s">
        <v>204</v>
      </c>
      <c r="H5" s="5" t="s">
        <v>205</v>
      </c>
      <c r="I5" s="5" t="s">
        <v>188</v>
      </c>
      <c r="J5" s="5" t="s">
        <v>189</v>
      </c>
      <c r="K5" s="5" t="s">
        <v>190</v>
      </c>
      <c r="L5" s="5" t="s">
        <v>206</v>
      </c>
      <c r="M5" s="5" t="s">
        <v>192</v>
      </c>
      <c r="N5" s="5" t="s">
        <v>12</v>
      </c>
      <c r="O5" s="5" t="s">
        <v>193</v>
      </c>
      <c r="P5" s="5" t="s">
        <v>194</v>
      </c>
      <c r="Q5" s="5" t="s">
        <v>195</v>
      </c>
    </row>
    <row r="6" spans="1:17" x14ac:dyDescent="0.2">
      <c r="A6" s="5" t="s">
        <v>207</v>
      </c>
      <c r="B6">
        <v>5</v>
      </c>
      <c r="C6" s="5" t="s">
        <v>13</v>
      </c>
      <c r="D6">
        <v>1101</v>
      </c>
      <c r="E6">
        <v>1121</v>
      </c>
      <c r="F6">
        <v>1</v>
      </c>
      <c r="G6" s="5" t="s">
        <v>208</v>
      </c>
      <c r="H6" s="5" t="s">
        <v>209</v>
      </c>
      <c r="I6" s="5" t="s">
        <v>188</v>
      </c>
      <c r="J6" s="5" t="s">
        <v>189</v>
      </c>
      <c r="K6" s="5" t="s">
        <v>190</v>
      </c>
      <c r="L6" s="5" t="s">
        <v>210</v>
      </c>
      <c r="M6" s="5" t="s">
        <v>192</v>
      </c>
      <c r="N6" s="5" t="s">
        <v>12</v>
      </c>
      <c r="O6" s="5" t="s">
        <v>193</v>
      </c>
      <c r="P6" s="5" t="s">
        <v>194</v>
      </c>
      <c r="Q6" s="5" t="s">
        <v>195</v>
      </c>
    </row>
    <row r="7" spans="1:17" x14ac:dyDescent="0.2">
      <c r="A7" s="5" t="s">
        <v>211</v>
      </c>
      <c r="B7">
        <v>1</v>
      </c>
      <c r="C7" s="5" t="s">
        <v>25</v>
      </c>
      <c r="D7">
        <v>1129</v>
      </c>
      <c r="E7">
        <v>1148</v>
      </c>
      <c r="F7">
        <v>1</v>
      </c>
      <c r="G7" s="5" t="s">
        <v>212</v>
      </c>
      <c r="H7" s="5" t="s">
        <v>205</v>
      </c>
      <c r="I7" s="5" t="s">
        <v>188</v>
      </c>
      <c r="J7" s="5" t="s">
        <v>189</v>
      </c>
      <c r="K7" s="5" t="s">
        <v>190</v>
      </c>
      <c r="L7" s="5" t="s">
        <v>213</v>
      </c>
      <c r="M7" s="5" t="s">
        <v>214</v>
      </c>
      <c r="N7" s="5" t="s">
        <v>24</v>
      </c>
      <c r="O7" s="5" t="s">
        <v>215</v>
      </c>
      <c r="P7" s="5" t="s">
        <v>216</v>
      </c>
      <c r="Q7" s="5" t="s">
        <v>195</v>
      </c>
    </row>
    <row r="8" spans="1:17" x14ac:dyDescent="0.2">
      <c r="A8" s="5" t="s">
        <v>217</v>
      </c>
      <c r="B8">
        <v>1</v>
      </c>
      <c r="C8" s="5" t="s">
        <v>29</v>
      </c>
      <c r="D8">
        <v>856</v>
      </c>
      <c r="E8">
        <v>873</v>
      </c>
      <c r="F8">
        <v>1</v>
      </c>
      <c r="G8" s="5" t="s">
        <v>218</v>
      </c>
      <c r="H8" s="5" t="s">
        <v>209</v>
      </c>
      <c r="I8" s="5" t="s">
        <v>219</v>
      </c>
      <c r="J8" s="5" t="s">
        <v>189</v>
      </c>
      <c r="K8" s="5" t="s">
        <v>190</v>
      </c>
      <c r="L8" s="5" t="s">
        <v>220</v>
      </c>
      <c r="M8" s="5" t="s">
        <v>221</v>
      </c>
      <c r="N8" s="5" t="s">
        <v>28</v>
      </c>
      <c r="O8" s="5" t="s">
        <v>222</v>
      </c>
      <c r="P8" s="5" t="s">
        <v>223</v>
      </c>
      <c r="Q8" s="5" t="s">
        <v>195</v>
      </c>
    </row>
    <row r="9" spans="1:17" x14ac:dyDescent="0.2">
      <c r="A9" s="5" t="s">
        <v>224</v>
      </c>
      <c r="B9">
        <v>1</v>
      </c>
      <c r="C9" s="5" t="s">
        <v>33</v>
      </c>
      <c r="D9">
        <v>801</v>
      </c>
      <c r="E9">
        <v>810</v>
      </c>
      <c r="F9">
        <v>1</v>
      </c>
      <c r="G9" s="5" t="s">
        <v>225</v>
      </c>
      <c r="H9" s="5" t="s">
        <v>209</v>
      </c>
      <c r="I9" s="5" t="s">
        <v>188</v>
      </c>
      <c r="J9" s="5" t="s">
        <v>189</v>
      </c>
      <c r="K9" s="5" t="s">
        <v>190</v>
      </c>
      <c r="L9" s="5" t="s">
        <v>226</v>
      </c>
      <c r="M9" s="5" t="s">
        <v>227</v>
      </c>
      <c r="N9" s="5" t="s">
        <v>32</v>
      </c>
      <c r="O9" s="5" t="s">
        <v>228</v>
      </c>
      <c r="P9" s="5" t="s">
        <v>229</v>
      </c>
      <c r="Q9" s="5" t="s">
        <v>195</v>
      </c>
    </row>
    <row r="10" spans="1:17" x14ac:dyDescent="0.2">
      <c r="A10" s="5" t="s">
        <v>230</v>
      </c>
      <c r="B10">
        <v>2</v>
      </c>
      <c r="C10" s="5" t="s">
        <v>33</v>
      </c>
      <c r="D10">
        <v>1125</v>
      </c>
      <c r="E10">
        <v>1138</v>
      </c>
      <c r="F10">
        <v>1</v>
      </c>
      <c r="G10" s="5" t="s">
        <v>231</v>
      </c>
      <c r="H10" s="5" t="s">
        <v>187</v>
      </c>
      <c r="I10" s="5" t="s">
        <v>188</v>
      </c>
      <c r="J10" s="5" t="s">
        <v>189</v>
      </c>
      <c r="K10" s="5" t="s">
        <v>190</v>
      </c>
      <c r="L10" s="5" t="s">
        <v>232</v>
      </c>
      <c r="M10" s="5" t="s">
        <v>227</v>
      </c>
      <c r="N10" s="5" t="s">
        <v>32</v>
      </c>
      <c r="O10" s="5" t="s">
        <v>228</v>
      </c>
      <c r="P10" s="5" t="s">
        <v>229</v>
      </c>
      <c r="Q10" s="5" t="s">
        <v>195</v>
      </c>
    </row>
    <row r="11" spans="1:17" x14ac:dyDescent="0.2">
      <c r="A11" s="5" t="s">
        <v>233</v>
      </c>
      <c r="B11">
        <v>3</v>
      </c>
      <c r="C11" s="5" t="s">
        <v>33</v>
      </c>
      <c r="D11">
        <v>1139</v>
      </c>
      <c r="E11">
        <v>1161</v>
      </c>
      <c r="F11">
        <v>1</v>
      </c>
      <c r="G11" s="5" t="s">
        <v>234</v>
      </c>
      <c r="H11" s="5" t="s">
        <v>205</v>
      </c>
      <c r="I11" s="5" t="s">
        <v>188</v>
      </c>
      <c r="J11" s="5" t="s">
        <v>189</v>
      </c>
      <c r="K11" s="5" t="s">
        <v>190</v>
      </c>
      <c r="L11" s="5" t="s">
        <v>235</v>
      </c>
      <c r="M11" s="5" t="s">
        <v>227</v>
      </c>
      <c r="N11" s="5" t="s">
        <v>32</v>
      </c>
      <c r="O11" s="5" t="s">
        <v>228</v>
      </c>
      <c r="P11" s="5" t="s">
        <v>229</v>
      </c>
      <c r="Q11" s="5" t="s">
        <v>195</v>
      </c>
    </row>
    <row r="12" spans="1:17" x14ac:dyDescent="0.2">
      <c r="A12" s="5" t="s">
        <v>236</v>
      </c>
      <c r="B12">
        <v>4</v>
      </c>
      <c r="C12" s="5" t="s">
        <v>33</v>
      </c>
      <c r="D12">
        <v>1181</v>
      </c>
      <c r="E12">
        <v>1189</v>
      </c>
      <c r="F12">
        <v>1</v>
      </c>
      <c r="G12" s="5" t="s">
        <v>237</v>
      </c>
      <c r="H12" s="5" t="s">
        <v>209</v>
      </c>
      <c r="I12" s="5" t="s">
        <v>188</v>
      </c>
      <c r="J12" s="5" t="s">
        <v>189</v>
      </c>
      <c r="K12" s="5" t="s">
        <v>190</v>
      </c>
      <c r="L12" s="5" t="s">
        <v>238</v>
      </c>
      <c r="M12" s="5" t="s">
        <v>227</v>
      </c>
      <c r="N12" s="5" t="s">
        <v>32</v>
      </c>
      <c r="O12" s="5" t="s">
        <v>228</v>
      </c>
      <c r="P12" s="5" t="s">
        <v>229</v>
      </c>
      <c r="Q12" s="5" t="s">
        <v>195</v>
      </c>
    </row>
    <row r="13" spans="1:17" x14ac:dyDescent="0.2">
      <c r="A13" s="5" t="s">
        <v>239</v>
      </c>
      <c r="B13">
        <v>5</v>
      </c>
      <c r="C13" s="5" t="s">
        <v>33</v>
      </c>
      <c r="D13">
        <v>1499</v>
      </c>
      <c r="E13">
        <v>1514</v>
      </c>
      <c r="F13">
        <v>1</v>
      </c>
      <c r="G13" s="5" t="s">
        <v>240</v>
      </c>
      <c r="H13" s="5" t="s">
        <v>187</v>
      </c>
      <c r="I13" s="5" t="s">
        <v>188</v>
      </c>
      <c r="J13" s="5" t="s">
        <v>189</v>
      </c>
      <c r="K13" s="5" t="s">
        <v>190</v>
      </c>
      <c r="L13" s="5" t="s">
        <v>241</v>
      </c>
      <c r="M13" s="5" t="s">
        <v>227</v>
      </c>
      <c r="N13" s="5" t="s">
        <v>32</v>
      </c>
      <c r="O13" s="5" t="s">
        <v>228</v>
      </c>
      <c r="P13" s="5" t="s">
        <v>229</v>
      </c>
      <c r="Q13" s="5" t="s">
        <v>195</v>
      </c>
    </row>
    <row r="14" spans="1:17" x14ac:dyDescent="0.2">
      <c r="A14" s="5" t="s">
        <v>242</v>
      </c>
      <c r="B14">
        <v>1</v>
      </c>
      <c r="C14" s="5" t="s">
        <v>45</v>
      </c>
      <c r="D14">
        <v>542</v>
      </c>
      <c r="E14">
        <v>553</v>
      </c>
      <c r="F14">
        <v>1</v>
      </c>
      <c r="G14" s="5" t="s">
        <v>243</v>
      </c>
      <c r="H14" s="5" t="s">
        <v>205</v>
      </c>
      <c r="I14" s="5" t="s">
        <v>188</v>
      </c>
      <c r="J14" s="5" t="s">
        <v>189</v>
      </c>
      <c r="K14" s="5" t="s">
        <v>190</v>
      </c>
      <c r="L14" s="5" t="s">
        <v>244</v>
      </c>
      <c r="M14" s="5" t="s">
        <v>245</v>
      </c>
      <c r="N14" s="5" t="s">
        <v>44</v>
      </c>
      <c r="O14" s="5" t="s">
        <v>246</v>
      </c>
      <c r="P14" s="5" t="s">
        <v>247</v>
      </c>
      <c r="Q14" s="5" t="s">
        <v>195</v>
      </c>
    </row>
    <row r="15" spans="1:17" x14ac:dyDescent="0.2">
      <c r="A15" s="5" t="s">
        <v>248</v>
      </c>
      <c r="B15">
        <v>2</v>
      </c>
      <c r="C15" s="5" t="s">
        <v>45</v>
      </c>
      <c r="D15">
        <v>554</v>
      </c>
      <c r="E15">
        <v>578</v>
      </c>
      <c r="F15">
        <v>1</v>
      </c>
      <c r="G15" s="5" t="s">
        <v>249</v>
      </c>
      <c r="H15" s="5" t="s">
        <v>209</v>
      </c>
      <c r="I15" s="5" t="s">
        <v>188</v>
      </c>
      <c r="J15" s="5" t="s">
        <v>189</v>
      </c>
      <c r="K15" s="5" t="s">
        <v>190</v>
      </c>
      <c r="L15" s="5" t="s">
        <v>250</v>
      </c>
      <c r="M15" s="5" t="s">
        <v>245</v>
      </c>
      <c r="N15" s="5" t="s">
        <v>44</v>
      </c>
      <c r="O15" s="5" t="s">
        <v>246</v>
      </c>
      <c r="P15" s="5" t="s">
        <v>247</v>
      </c>
      <c r="Q15" s="5" t="s">
        <v>195</v>
      </c>
    </row>
    <row r="16" spans="1:17" x14ac:dyDescent="0.2">
      <c r="A16" s="5" t="s">
        <v>251</v>
      </c>
      <c r="B16">
        <v>3</v>
      </c>
      <c r="C16" s="5" t="s">
        <v>45</v>
      </c>
      <c r="D16">
        <v>970</v>
      </c>
      <c r="E16">
        <v>1007</v>
      </c>
      <c r="F16">
        <v>1</v>
      </c>
      <c r="G16" s="5" t="s">
        <v>252</v>
      </c>
      <c r="H16" s="5" t="s">
        <v>253</v>
      </c>
      <c r="I16" s="5" t="s">
        <v>188</v>
      </c>
      <c r="J16" s="5" t="s">
        <v>189</v>
      </c>
      <c r="K16" s="5" t="s">
        <v>190</v>
      </c>
      <c r="L16" s="5" t="s">
        <v>254</v>
      </c>
      <c r="M16" s="5" t="s">
        <v>245</v>
      </c>
      <c r="N16" s="5" t="s">
        <v>44</v>
      </c>
      <c r="O16" s="5" t="s">
        <v>246</v>
      </c>
      <c r="P16" s="5" t="s">
        <v>247</v>
      </c>
      <c r="Q16" s="5" t="s">
        <v>195</v>
      </c>
    </row>
    <row r="17" spans="1:17" x14ac:dyDescent="0.2">
      <c r="A17" s="5" t="s">
        <v>255</v>
      </c>
      <c r="B17">
        <v>4</v>
      </c>
      <c r="C17" s="5" t="s">
        <v>45</v>
      </c>
      <c r="D17">
        <v>1451</v>
      </c>
      <c r="E17">
        <v>1473</v>
      </c>
      <c r="F17">
        <v>1</v>
      </c>
      <c r="G17" s="5" t="s">
        <v>256</v>
      </c>
      <c r="H17" s="5" t="s">
        <v>187</v>
      </c>
      <c r="I17" s="5" t="s">
        <v>188</v>
      </c>
      <c r="J17" s="5" t="s">
        <v>189</v>
      </c>
      <c r="K17" s="5" t="s">
        <v>190</v>
      </c>
      <c r="L17" s="5" t="s">
        <v>257</v>
      </c>
      <c r="M17" s="5" t="s">
        <v>245</v>
      </c>
      <c r="N17" s="5" t="s">
        <v>44</v>
      </c>
      <c r="O17" s="5" t="s">
        <v>246</v>
      </c>
      <c r="P17" s="5" t="s">
        <v>247</v>
      </c>
      <c r="Q17" s="5" t="s">
        <v>195</v>
      </c>
    </row>
    <row r="18" spans="1:17" x14ac:dyDescent="0.2">
      <c r="A18" s="5" t="s">
        <v>258</v>
      </c>
      <c r="B18">
        <v>1</v>
      </c>
      <c r="C18" s="5" t="s">
        <v>55</v>
      </c>
      <c r="D18">
        <v>882</v>
      </c>
      <c r="E18">
        <v>904</v>
      </c>
      <c r="F18">
        <v>1</v>
      </c>
      <c r="G18" s="5" t="s">
        <v>259</v>
      </c>
      <c r="H18" s="5" t="s">
        <v>187</v>
      </c>
      <c r="I18" s="5" t="s">
        <v>188</v>
      </c>
      <c r="J18" s="5" t="s">
        <v>189</v>
      </c>
      <c r="K18" s="5" t="s">
        <v>190</v>
      </c>
      <c r="L18" s="5" t="s">
        <v>260</v>
      </c>
      <c r="M18" s="5" t="s">
        <v>261</v>
      </c>
      <c r="N18" s="5" t="s">
        <v>54</v>
      </c>
      <c r="O18" s="5" t="s">
        <v>262</v>
      </c>
      <c r="P18" s="5" t="s">
        <v>263</v>
      </c>
      <c r="Q18" s="5" t="s">
        <v>195</v>
      </c>
    </row>
    <row r="19" spans="1:17" x14ac:dyDescent="0.2">
      <c r="A19" s="5" t="s">
        <v>264</v>
      </c>
      <c r="B19">
        <v>2</v>
      </c>
      <c r="C19" s="5" t="s">
        <v>55</v>
      </c>
      <c r="D19">
        <v>965</v>
      </c>
      <c r="E19">
        <v>987</v>
      </c>
      <c r="F19">
        <v>1</v>
      </c>
      <c r="G19" s="5" t="s">
        <v>265</v>
      </c>
      <c r="H19" s="5" t="s">
        <v>205</v>
      </c>
      <c r="I19" s="5" t="s">
        <v>188</v>
      </c>
      <c r="J19" s="5" t="s">
        <v>189</v>
      </c>
      <c r="K19" s="5" t="s">
        <v>190</v>
      </c>
      <c r="L19" s="5" t="s">
        <v>266</v>
      </c>
      <c r="M19" s="5" t="s">
        <v>261</v>
      </c>
      <c r="N19" s="5" t="s">
        <v>54</v>
      </c>
      <c r="O19" s="5" t="s">
        <v>262</v>
      </c>
      <c r="P19" s="5" t="s">
        <v>263</v>
      </c>
      <c r="Q19" s="5" t="s">
        <v>195</v>
      </c>
    </row>
    <row r="20" spans="1:17" x14ac:dyDescent="0.2">
      <c r="A20" s="5" t="s">
        <v>267</v>
      </c>
      <c r="B20">
        <v>3</v>
      </c>
      <c r="C20" s="5" t="s">
        <v>55</v>
      </c>
      <c r="D20">
        <v>988</v>
      </c>
      <c r="E20">
        <v>1015</v>
      </c>
      <c r="F20">
        <v>1</v>
      </c>
      <c r="G20" s="5" t="s">
        <v>268</v>
      </c>
      <c r="H20" s="5" t="s">
        <v>269</v>
      </c>
      <c r="I20" s="5" t="s">
        <v>188</v>
      </c>
      <c r="J20" s="5" t="s">
        <v>189</v>
      </c>
      <c r="K20" s="5" t="s">
        <v>190</v>
      </c>
      <c r="L20" s="5" t="s">
        <v>270</v>
      </c>
      <c r="M20" s="5" t="s">
        <v>261</v>
      </c>
      <c r="N20" s="5" t="s">
        <v>54</v>
      </c>
      <c r="O20" s="5" t="s">
        <v>262</v>
      </c>
      <c r="P20" s="5" t="s">
        <v>263</v>
      </c>
      <c r="Q20" s="5" t="s">
        <v>195</v>
      </c>
    </row>
    <row r="21" spans="1:17" x14ac:dyDescent="0.2">
      <c r="A21" s="5" t="s">
        <v>271</v>
      </c>
      <c r="B21">
        <v>1</v>
      </c>
      <c r="C21" s="5" t="s">
        <v>63</v>
      </c>
      <c r="D21">
        <v>718</v>
      </c>
      <c r="E21">
        <v>759</v>
      </c>
      <c r="F21">
        <v>1</v>
      </c>
      <c r="G21" s="5" t="s">
        <v>272</v>
      </c>
      <c r="H21" s="5" t="s">
        <v>187</v>
      </c>
      <c r="I21" s="5" t="s">
        <v>188</v>
      </c>
      <c r="J21" s="5" t="s">
        <v>189</v>
      </c>
      <c r="K21" s="5" t="s">
        <v>190</v>
      </c>
      <c r="L21" s="5" t="s">
        <v>273</v>
      </c>
      <c r="M21" s="5" t="s">
        <v>274</v>
      </c>
      <c r="N21" s="5" t="s">
        <v>62</v>
      </c>
      <c r="O21" s="5" t="s">
        <v>275</v>
      </c>
      <c r="P21" s="5" t="s">
        <v>276</v>
      </c>
      <c r="Q21" s="5" t="s">
        <v>195</v>
      </c>
    </row>
    <row r="22" spans="1:17" x14ac:dyDescent="0.2">
      <c r="A22" s="5" t="s">
        <v>277</v>
      </c>
      <c r="B22">
        <v>2</v>
      </c>
      <c r="C22" s="5" t="s">
        <v>63</v>
      </c>
      <c r="D22">
        <v>762</v>
      </c>
      <c r="E22">
        <v>779</v>
      </c>
      <c r="F22">
        <v>1</v>
      </c>
      <c r="G22" s="5" t="s">
        <v>278</v>
      </c>
      <c r="H22" s="5" t="s">
        <v>187</v>
      </c>
      <c r="I22" s="5" t="s">
        <v>188</v>
      </c>
      <c r="J22" s="5" t="s">
        <v>189</v>
      </c>
      <c r="K22" s="5" t="s">
        <v>190</v>
      </c>
      <c r="L22" s="5" t="s">
        <v>279</v>
      </c>
      <c r="M22" s="5" t="s">
        <v>274</v>
      </c>
      <c r="N22" s="5" t="s">
        <v>62</v>
      </c>
      <c r="O22" s="5" t="s">
        <v>275</v>
      </c>
      <c r="P22" s="5" t="s">
        <v>276</v>
      </c>
      <c r="Q22" s="5" t="s">
        <v>195</v>
      </c>
    </row>
    <row r="23" spans="1:17" x14ac:dyDescent="0.2">
      <c r="A23" s="5" t="s">
        <v>280</v>
      </c>
      <c r="B23">
        <v>3</v>
      </c>
      <c r="C23" s="5" t="s">
        <v>63</v>
      </c>
      <c r="D23">
        <v>1065</v>
      </c>
      <c r="E23">
        <v>1093</v>
      </c>
      <c r="F23">
        <v>1</v>
      </c>
      <c r="G23" s="5" t="s">
        <v>281</v>
      </c>
      <c r="H23" s="5" t="s">
        <v>282</v>
      </c>
      <c r="I23" s="5" t="s">
        <v>188</v>
      </c>
      <c r="J23" s="5" t="s">
        <v>189</v>
      </c>
      <c r="K23" s="5" t="s">
        <v>190</v>
      </c>
      <c r="L23" s="5" t="s">
        <v>283</v>
      </c>
      <c r="M23" s="5" t="s">
        <v>274</v>
      </c>
      <c r="N23" s="5" t="s">
        <v>62</v>
      </c>
      <c r="O23" s="5" t="s">
        <v>275</v>
      </c>
      <c r="P23" s="5" t="s">
        <v>276</v>
      </c>
      <c r="Q23" s="5" t="s">
        <v>195</v>
      </c>
    </row>
    <row r="24" spans="1:17" x14ac:dyDescent="0.2">
      <c r="A24" s="5" t="s">
        <v>284</v>
      </c>
      <c r="B24">
        <v>4</v>
      </c>
      <c r="C24" s="5" t="s">
        <v>63</v>
      </c>
      <c r="D24">
        <v>1093</v>
      </c>
      <c r="E24">
        <v>1104</v>
      </c>
      <c r="F24">
        <v>1</v>
      </c>
      <c r="G24" s="5" t="s">
        <v>285</v>
      </c>
      <c r="H24" s="5" t="s">
        <v>209</v>
      </c>
      <c r="I24" s="5" t="s">
        <v>188</v>
      </c>
      <c r="J24" s="5" t="s">
        <v>189</v>
      </c>
      <c r="K24" s="5" t="s">
        <v>190</v>
      </c>
      <c r="L24" s="5" t="s">
        <v>286</v>
      </c>
      <c r="M24" s="5" t="s">
        <v>274</v>
      </c>
      <c r="N24" s="5" t="s">
        <v>62</v>
      </c>
      <c r="O24" s="5" t="s">
        <v>275</v>
      </c>
      <c r="P24" s="5" t="s">
        <v>276</v>
      </c>
      <c r="Q24" s="5" t="s">
        <v>195</v>
      </c>
    </row>
    <row r="25" spans="1:17" x14ac:dyDescent="0.2">
      <c r="A25" s="5" t="s">
        <v>287</v>
      </c>
      <c r="B25">
        <v>5</v>
      </c>
      <c r="C25" s="5" t="s">
        <v>63</v>
      </c>
      <c r="D25">
        <v>1160</v>
      </c>
      <c r="E25">
        <v>1183</v>
      </c>
      <c r="F25">
        <v>1</v>
      </c>
      <c r="G25" s="5" t="s">
        <v>288</v>
      </c>
      <c r="H25" s="5" t="s">
        <v>205</v>
      </c>
      <c r="I25" s="5" t="s">
        <v>188</v>
      </c>
      <c r="J25" s="5" t="s">
        <v>189</v>
      </c>
      <c r="K25" s="5" t="s">
        <v>190</v>
      </c>
      <c r="L25" s="5" t="s">
        <v>289</v>
      </c>
      <c r="M25" s="5" t="s">
        <v>274</v>
      </c>
      <c r="N25" s="5" t="s">
        <v>62</v>
      </c>
      <c r="O25" s="5" t="s">
        <v>275</v>
      </c>
      <c r="P25" s="5" t="s">
        <v>276</v>
      </c>
      <c r="Q25" s="5" t="s">
        <v>195</v>
      </c>
    </row>
    <row r="26" spans="1:17" x14ac:dyDescent="0.2">
      <c r="A26" s="5" t="s">
        <v>290</v>
      </c>
      <c r="B26">
        <v>6</v>
      </c>
      <c r="C26" s="5" t="s">
        <v>63</v>
      </c>
      <c r="D26">
        <v>1247</v>
      </c>
      <c r="E26">
        <v>1290</v>
      </c>
      <c r="F26">
        <v>1</v>
      </c>
      <c r="G26" s="5" t="s">
        <v>291</v>
      </c>
      <c r="H26" s="5" t="s">
        <v>209</v>
      </c>
      <c r="I26" s="5" t="s">
        <v>188</v>
      </c>
      <c r="J26" s="5" t="s">
        <v>189</v>
      </c>
      <c r="K26" s="5" t="s">
        <v>190</v>
      </c>
      <c r="L26" s="5" t="s">
        <v>292</v>
      </c>
      <c r="M26" s="5" t="s">
        <v>274</v>
      </c>
      <c r="N26" s="5" t="s">
        <v>62</v>
      </c>
      <c r="O26" s="5" t="s">
        <v>275</v>
      </c>
      <c r="P26" s="5" t="s">
        <v>276</v>
      </c>
      <c r="Q26" s="5" t="s">
        <v>195</v>
      </c>
    </row>
    <row r="27" spans="1:17" x14ac:dyDescent="0.2">
      <c r="A27" s="5" t="s">
        <v>293</v>
      </c>
      <c r="B27">
        <v>7</v>
      </c>
      <c r="C27" s="5" t="s">
        <v>63</v>
      </c>
      <c r="D27">
        <v>1513</v>
      </c>
      <c r="E27">
        <v>1536</v>
      </c>
      <c r="F27">
        <v>1</v>
      </c>
      <c r="G27" s="5" t="s">
        <v>294</v>
      </c>
      <c r="H27" s="5" t="s">
        <v>205</v>
      </c>
      <c r="I27" s="5" t="s">
        <v>188</v>
      </c>
      <c r="J27" s="5" t="s">
        <v>189</v>
      </c>
      <c r="K27" s="5" t="s">
        <v>190</v>
      </c>
      <c r="L27" s="5" t="s">
        <v>295</v>
      </c>
      <c r="M27" s="5" t="s">
        <v>274</v>
      </c>
      <c r="N27" s="5" t="s">
        <v>62</v>
      </c>
      <c r="O27" s="5" t="s">
        <v>275</v>
      </c>
      <c r="P27" s="5" t="s">
        <v>276</v>
      </c>
      <c r="Q27" s="5" t="s">
        <v>195</v>
      </c>
    </row>
    <row r="28" spans="1:17" x14ac:dyDescent="0.2">
      <c r="A28" s="5" t="s">
        <v>296</v>
      </c>
      <c r="B28">
        <v>8</v>
      </c>
      <c r="C28" s="5" t="s">
        <v>63</v>
      </c>
      <c r="D28">
        <v>1731</v>
      </c>
      <c r="E28">
        <v>1742</v>
      </c>
      <c r="F28">
        <v>1</v>
      </c>
      <c r="G28" s="5" t="s">
        <v>297</v>
      </c>
      <c r="H28" s="5" t="s">
        <v>209</v>
      </c>
      <c r="I28" s="5" t="s">
        <v>188</v>
      </c>
      <c r="J28" s="5" t="s">
        <v>189</v>
      </c>
      <c r="K28" s="5" t="s">
        <v>190</v>
      </c>
      <c r="L28" s="5" t="s">
        <v>298</v>
      </c>
      <c r="M28" s="5" t="s">
        <v>274</v>
      </c>
      <c r="N28" s="5" t="s">
        <v>62</v>
      </c>
      <c r="O28" s="5" t="s">
        <v>275</v>
      </c>
      <c r="P28" s="5" t="s">
        <v>276</v>
      </c>
      <c r="Q28" s="5" t="s">
        <v>195</v>
      </c>
    </row>
    <row r="29" spans="1:17" x14ac:dyDescent="0.2">
      <c r="A29" s="5" t="s">
        <v>299</v>
      </c>
      <c r="B29">
        <v>1</v>
      </c>
      <c r="C29" s="5" t="s">
        <v>81</v>
      </c>
      <c r="D29">
        <v>567</v>
      </c>
      <c r="E29">
        <v>586</v>
      </c>
      <c r="F29">
        <v>1</v>
      </c>
      <c r="G29" s="5" t="s">
        <v>300</v>
      </c>
      <c r="H29" s="5" t="s">
        <v>187</v>
      </c>
      <c r="I29" s="5" t="s">
        <v>188</v>
      </c>
      <c r="J29" s="5" t="s">
        <v>189</v>
      </c>
      <c r="K29" s="5" t="s">
        <v>190</v>
      </c>
      <c r="L29" s="5" t="s">
        <v>301</v>
      </c>
      <c r="M29" s="5" t="s">
        <v>302</v>
      </c>
      <c r="N29" s="5" t="s">
        <v>80</v>
      </c>
      <c r="O29" s="5" t="s">
        <v>303</v>
      </c>
      <c r="P29" s="5" t="s">
        <v>304</v>
      </c>
      <c r="Q29" s="5" t="s">
        <v>195</v>
      </c>
    </row>
    <row r="30" spans="1:17" x14ac:dyDescent="0.2">
      <c r="A30" s="5" t="s">
        <v>305</v>
      </c>
      <c r="B30">
        <v>2</v>
      </c>
      <c r="C30" s="5" t="s">
        <v>81</v>
      </c>
      <c r="D30">
        <v>765</v>
      </c>
      <c r="E30">
        <v>783</v>
      </c>
      <c r="F30">
        <v>1</v>
      </c>
      <c r="G30" s="5" t="s">
        <v>306</v>
      </c>
      <c r="H30" s="5" t="s">
        <v>187</v>
      </c>
      <c r="I30" s="5" t="s">
        <v>188</v>
      </c>
      <c r="J30" s="5" t="s">
        <v>189</v>
      </c>
      <c r="K30" s="5" t="s">
        <v>190</v>
      </c>
      <c r="L30" s="5" t="s">
        <v>307</v>
      </c>
      <c r="M30" s="5" t="s">
        <v>302</v>
      </c>
      <c r="N30" s="5" t="s">
        <v>80</v>
      </c>
      <c r="O30" s="5" t="s">
        <v>303</v>
      </c>
      <c r="P30" s="5" t="s">
        <v>304</v>
      </c>
      <c r="Q30" s="5" t="s">
        <v>195</v>
      </c>
    </row>
    <row r="31" spans="1:17" x14ac:dyDescent="0.2">
      <c r="A31" s="5" t="s">
        <v>308</v>
      </c>
      <c r="B31">
        <v>3</v>
      </c>
      <c r="C31" s="5" t="s">
        <v>81</v>
      </c>
      <c r="D31">
        <v>1053</v>
      </c>
      <c r="E31">
        <v>1068</v>
      </c>
      <c r="F31">
        <v>1</v>
      </c>
      <c r="G31" s="5" t="s">
        <v>309</v>
      </c>
      <c r="H31" s="5" t="s">
        <v>205</v>
      </c>
      <c r="I31" s="5" t="s">
        <v>188</v>
      </c>
      <c r="J31" s="5" t="s">
        <v>189</v>
      </c>
      <c r="K31" s="5" t="s">
        <v>190</v>
      </c>
      <c r="L31" s="5" t="s">
        <v>310</v>
      </c>
      <c r="M31" s="5" t="s">
        <v>302</v>
      </c>
      <c r="N31" s="5" t="s">
        <v>80</v>
      </c>
      <c r="O31" s="5" t="s">
        <v>303</v>
      </c>
      <c r="P31" s="5" t="s">
        <v>304</v>
      </c>
      <c r="Q31" s="5" t="s">
        <v>195</v>
      </c>
    </row>
    <row r="32" spans="1:17" x14ac:dyDescent="0.2">
      <c r="A32" s="5" t="s">
        <v>311</v>
      </c>
      <c r="B32">
        <v>4</v>
      </c>
      <c r="C32" s="5" t="s">
        <v>81</v>
      </c>
      <c r="D32">
        <v>1719</v>
      </c>
      <c r="E32">
        <v>1736</v>
      </c>
      <c r="F32">
        <v>1</v>
      </c>
      <c r="G32" s="5" t="s">
        <v>312</v>
      </c>
      <c r="H32" s="5" t="s">
        <v>205</v>
      </c>
      <c r="I32" s="5" t="s">
        <v>188</v>
      </c>
      <c r="J32" s="5" t="s">
        <v>189</v>
      </c>
      <c r="K32" s="5" t="s">
        <v>190</v>
      </c>
      <c r="L32" s="5" t="s">
        <v>313</v>
      </c>
      <c r="M32" s="5" t="s">
        <v>302</v>
      </c>
      <c r="N32" s="5" t="s">
        <v>80</v>
      </c>
      <c r="O32" s="5" t="s">
        <v>303</v>
      </c>
      <c r="P32" s="5" t="s">
        <v>304</v>
      </c>
      <c r="Q32" s="5" t="s">
        <v>195</v>
      </c>
    </row>
    <row r="33" spans="1:17" x14ac:dyDescent="0.2">
      <c r="A33" s="5" t="s">
        <v>314</v>
      </c>
      <c r="B33">
        <v>1</v>
      </c>
      <c r="C33" s="5" t="s">
        <v>315</v>
      </c>
      <c r="D33">
        <v>1065</v>
      </c>
      <c r="E33">
        <v>1094</v>
      </c>
      <c r="F33">
        <v>1</v>
      </c>
      <c r="G33" s="5" t="s">
        <v>316</v>
      </c>
      <c r="H33" s="5" t="s">
        <v>317</v>
      </c>
      <c r="I33" s="5" t="s">
        <v>188</v>
      </c>
      <c r="J33" s="5" t="s">
        <v>189</v>
      </c>
      <c r="K33" s="5" t="s">
        <v>190</v>
      </c>
      <c r="L33" s="5" t="s">
        <v>318</v>
      </c>
      <c r="M33" s="5" t="s">
        <v>319</v>
      </c>
      <c r="N33" s="5" t="s">
        <v>90</v>
      </c>
      <c r="O33" s="5" t="s">
        <v>320</v>
      </c>
      <c r="P33" s="5" t="s">
        <v>321</v>
      </c>
      <c r="Q33" s="5" t="s">
        <v>195</v>
      </c>
    </row>
    <row r="34" spans="1:17" x14ac:dyDescent="0.2">
      <c r="A34" s="5" t="s">
        <v>322</v>
      </c>
      <c r="B34">
        <v>2</v>
      </c>
      <c r="C34" s="5" t="s">
        <v>315</v>
      </c>
      <c r="D34">
        <v>1128</v>
      </c>
      <c r="E34">
        <v>1144</v>
      </c>
      <c r="F34">
        <v>1</v>
      </c>
      <c r="G34" s="5" t="s">
        <v>323</v>
      </c>
      <c r="H34" s="5" t="s">
        <v>209</v>
      </c>
      <c r="I34" s="5" t="s">
        <v>188</v>
      </c>
      <c r="J34" s="5" t="s">
        <v>189</v>
      </c>
      <c r="K34" s="5" t="s">
        <v>190</v>
      </c>
      <c r="L34" s="5" t="s">
        <v>324</v>
      </c>
      <c r="M34" s="5" t="s">
        <v>319</v>
      </c>
      <c r="N34" s="5" t="s">
        <v>90</v>
      </c>
      <c r="O34" s="5" t="s">
        <v>320</v>
      </c>
      <c r="P34" s="5" t="s">
        <v>321</v>
      </c>
      <c r="Q34" s="5" t="s">
        <v>195</v>
      </c>
    </row>
    <row r="35" spans="1:17" x14ac:dyDescent="0.2">
      <c r="A35" s="5" t="s">
        <v>325</v>
      </c>
      <c r="B35">
        <v>3</v>
      </c>
      <c r="C35" s="5" t="s">
        <v>315</v>
      </c>
      <c r="D35">
        <v>1352</v>
      </c>
      <c r="E35">
        <v>1368</v>
      </c>
      <c r="F35">
        <v>1</v>
      </c>
      <c r="G35" s="5" t="s">
        <v>326</v>
      </c>
      <c r="H35" s="5" t="s">
        <v>205</v>
      </c>
      <c r="I35" s="5" t="s">
        <v>188</v>
      </c>
      <c r="J35" s="5" t="s">
        <v>189</v>
      </c>
      <c r="K35" s="5" t="s">
        <v>190</v>
      </c>
      <c r="L35" s="5" t="s">
        <v>327</v>
      </c>
      <c r="M35" s="5" t="s">
        <v>319</v>
      </c>
      <c r="N35" s="5" t="s">
        <v>90</v>
      </c>
      <c r="O35" s="5" t="s">
        <v>320</v>
      </c>
      <c r="P35" s="5" t="s">
        <v>321</v>
      </c>
      <c r="Q35" s="5" t="s">
        <v>195</v>
      </c>
    </row>
    <row r="36" spans="1:17" x14ac:dyDescent="0.2">
      <c r="A36" s="5" t="s">
        <v>328</v>
      </c>
      <c r="B36">
        <v>1</v>
      </c>
      <c r="C36" s="5" t="s">
        <v>98</v>
      </c>
      <c r="D36">
        <v>417</v>
      </c>
      <c r="E36">
        <v>435</v>
      </c>
      <c r="F36">
        <v>1</v>
      </c>
      <c r="G36" s="5" t="s">
        <v>329</v>
      </c>
      <c r="H36" s="5" t="s">
        <v>187</v>
      </c>
      <c r="I36" s="5" t="s">
        <v>188</v>
      </c>
      <c r="J36" s="5" t="s">
        <v>189</v>
      </c>
      <c r="K36" s="5" t="s">
        <v>190</v>
      </c>
      <c r="L36" s="5" t="s">
        <v>330</v>
      </c>
      <c r="M36" s="5" t="s">
        <v>331</v>
      </c>
      <c r="N36" s="5" t="s">
        <v>97</v>
      </c>
      <c r="O36" s="5" t="s">
        <v>332</v>
      </c>
      <c r="P36" s="5" t="s">
        <v>333</v>
      </c>
      <c r="Q36" s="5" t="s">
        <v>195</v>
      </c>
    </row>
    <row r="37" spans="1:17" x14ac:dyDescent="0.2">
      <c r="A37" s="5" t="s">
        <v>334</v>
      </c>
      <c r="B37">
        <v>2</v>
      </c>
      <c r="C37" s="5" t="s">
        <v>98</v>
      </c>
      <c r="D37">
        <v>575</v>
      </c>
      <c r="E37">
        <v>613</v>
      </c>
      <c r="F37">
        <v>1</v>
      </c>
      <c r="G37" s="5" t="s">
        <v>335</v>
      </c>
      <c r="H37" s="5" t="s">
        <v>209</v>
      </c>
      <c r="I37" s="5" t="s">
        <v>188</v>
      </c>
      <c r="J37" s="5" t="s">
        <v>189</v>
      </c>
      <c r="K37" s="5" t="s">
        <v>190</v>
      </c>
      <c r="L37" s="5" t="s">
        <v>336</v>
      </c>
      <c r="M37" s="5" t="s">
        <v>331</v>
      </c>
      <c r="N37" s="5" t="s">
        <v>97</v>
      </c>
      <c r="O37" s="5" t="s">
        <v>332</v>
      </c>
      <c r="P37" s="5" t="s">
        <v>333</v>
      </c>
      <c r="Q37" s="5" t="s">
        <v>195</v>
      </c>
    </row>
    <row r="38" spans="1:17" x14ac:dyDescent="0.2">
      <c r="A38" s="5" t="s">
        <v>337</v>
      </c>
      <c r="B38">
        <v>3</v>
      </c>
      <c r="C38" s="5" t="s">
        <v>98</v>
      </c>
      <c r="D38">
        <v>1715</v>
      </c>
      <c r="E38">
        <v>1733</v>
      </c>
      <c r="F38">
        <v>1</v>
      </c>
      <c r="G38" s="5" t="s">
        <v>338</v>
      </c>
      <c r="H38" s="5" t="s">
        <v>282</v>
      </c>
      <c r="I38" s="5" t="s">
        <v>188</v>
      </c>
      <c r="J38" s="5" t="s">
        <v>189</v>
      </c>
      <c r="K38" s="5" t="s">
        <v>190</v>
      </c>
      <c r="L38" s="5" t="s">
        <v>339</v>
      </c>
      <c r="M38" s="5" t="s">
        <v>331</v>
      </c>
      <c r="N38" s="5" t="s">
        <v>97</v>
      </c>
      <c r="O38" s="5" t="s">
        <v>332</v>
      </c>
      <c r="P38" s="5" t="s">
        <v>333</v>
      </c>
      <c r="Q38" s="5" t="s">
        <v>195</v>
      </c>
    </row>
    <row r="39" spans="1:17" x14ac:dyDescent="0.2">
      <c r="A39" s="5" t="s">
        <v>340</v>
      </c>
      <c r="B39">
        <v>1</v>
      </c>
      <c r="C39" s="5" t="s">
        <v>106</v>
      </c>
      <c r="D39">
        <v>1038</v>
      </c>
      <c r="E39">
        <v>1061</v>
      </c>
      <c r="F39">
        <v>1</v>
      </c>
      <c r="G39" s="5" t="s">
        <v>341</v>
      </c>
      <c r="H39" s="5" t="s">
        <v>187</v>
      </c>
      <c r="I39" s="5" t="s">
        <v>342</v>
      </c>
      <c r="J39" s="5" t="s">
        <v>189</v>
      </c>
      <c r="K39" s="5" t="s">
        <v>190</v>
      </c>
      <c r="L39" s="5" t="s">
        <v>343</v>
      </c>
      <c r="M39" s="5" t="s">
        <v>344</v>
      </c>
      <c r="N39" s="5" t="s">
        <v>105</v>
      </c>
      <c r="O39" s="5" t="s">
        <v>345</v>
      </c>
      <c r="P39" s="5" t="s">
        <v>346</v>
      </c>
      <c r="Q39" s="5" t="s">
        <v>195</v>
      </c>
    </row>
    <row r="40" spans="1:17" x14ac:dyDescent="0.2">
      <c r="A40" s="5" t="s">
        <v>347</v>
      </c>
      <c r="B40">
        <v>2</v>
      </c>
      <c r="C40" s="5" t="s">
        <v>106</v>
      </c>
      <c r="D40">
        <v>1134</v>
      </c>
      <c r="E40">
        <v>1155</v>
      </c>
      <c r="F40">
        <v>1</v>
      </c>
      <c r="G40" s="5" t="s">
        <v>348</v>
      </c>
      <c r="H40" s="5" t="s">
        <v>349</v>
      </c>
      <c r="I40" s="5" t="s">
        <v>342</v>
      </c>
      <c r="J40" s="5" t="s">
        <v>189</v>
      </c>
      <c r="K40" s="5" t="s">
        <v>190</v>
      </c>
      <c r="L40" s="5" t="s">
        <v>350</v>
      </c>
      <c r="M40" s="5" t="s">
        <v>344</v>
      </c>
      <c r="N40" s="5" t="s">
        <v>105</v>
      </c>
      <c r="O40" s="5" t="s">
        <v>345</v>
      </c>
      <c r="P40" s="5" t="s">
        <v>346</v>
      </c>
      <c r="Q40" s="5" t="s">
        <v>195</v>
      </c>
    </row>
    <row r="41" spans="1:17" x14ac:dyDescent="0.2">
      <c r="A41" s="5" t="s">
        <v>351</v>
      </c>
      <c r="B41">
        <v>1</v>
      </c>
      <c r="C41" s="5" t="s">
        <v>112</v>
      </c>
      <c r="D41">
        <v>405</v>
      </c>
      <c r="E41">
        <v>419</v>
      </c>
      <c r="F41">
        <v>1</v>
      </c>
      <c r="G41" s="5" t="s">
        <v>352</v>
      </c>
      <c r="H41" s="5" t="s">
        <v>209</v>
      </c>
      <c r="I41" s="5" t="s">
        <v>188</v>
      </c>
      <c r="J41" s="5" t="s">
        <v>189</v>
      </c>
      <c r="K41" s="5" t="s">
        <v>190</v>
      </c>
      <c r="L41" s="5" t="s">
        <v>353</v>
      </c>
      <c r="M41" s="5" t="s">
        <v>354</v>
      </c>
      <c r="N41" s="5" t="s">
        <v>111</v>
      </c>
      <c r="O41" s="5" t="s">
        <v>355</v>
      </c>
      <c r="P41" s="5" t="s">
        <v>356</v>
      </c>
      <c r="Q41" s="5" t="s">
        <v>195</v>
      </c>
    </row>
    <row r="42" spans="1:17" x14ac:dyDescent="0.2">
      <c r="A42" s="5" t="s">
        <v>357</v>
      </c>
      <c r="B42">
        <v>2</v>
      </c>
      <c r="C42" s="5" t="s">
        <v>112</v>
      </c>
      <c r="D42">
        <v>423</v>
      </c>
      <c r="E42">
        <v>441</v>
      </c>
      <c r="F42">
        <v>1</v>
      </c>
      <c r="G42" s="5" t="s">
        <v>358</v>
      </c>
      <c r="H42" s="5" t="s">
        <v>187</v>
      </c>
      <c r="I42" s="5" t="s">
        <v>188</v>
      </c>
      <c r="J42" s="5" t="s">
        <v>189</v>
      </c>
      <c r="K42" s="5" t="s">
        <v>190</v>
      </c>
      <c r="L42" s="5" t="s">
        <v>359</v>
      </c>
      <c r="M42" s="5" t="s">
        <v>354</v>
      </c>
      <c r="N42" s="5" t="s">
        <v>111</v>
      </c>
      <c r="O42" s="5" t="s">
        <v>355</v>
      </c>
      <c r="P42" s="5" t="s">
        <v>356</v>
      </c>
      <c r="Q42" s="5" t="s">
        <v>195</v>
      </c>
    </row>
    <row r="43" spans="1:17" x14ac:dyDescent="0.2">
      <c r="A43" s="5" t="s">
        <v>360</v>
      </c>
      <c r="B43">
        <v>3</v>
      </c>
      <c r="C43" s="5" t="s">
        <v>112</v>
      </c>
      <c r="D43">
        <v>1485</v>
      </c>
      <c r="E43">
        <v>1503</v>
      </c>
      <c r="F43">
        <v>1</v>
      </c>
      <c r="G43" s="5" t="s">
        <v>361</v>
      </c>
      <c r="H43" s="5" t="s">
        <v>187</v>
      </c>
      <c r="I43" s="5" t="s">
        <v>188</v>
      </c>
      <c r="J43" s="5" t="s">
        <v>189</v>
      </c>
      <c r="K43" s="5" t="s">
        <v>190</v>
      </c>
      <c r="L43" s="5" t="s">
        <v>362</v>
      </c>
      <c r="M43" s="5" t="s">
        <v>354</v>
      </c>
      <c r="N43" s="5" t="s">
        <v>111</v>
      </c>
      <c r="O43" s="5" t="s">
        <v>355</v>
      </c>
      <c r="P43" s="5" t="s">
        <v>356</v>
      </c>
      <c r="Q43" s="5" t="s">
        <v>195</v>
      </c>
    </row>
    <row r="44" spans="1:17" x14ac:dyDescent="0.2">
      <c r="A44" s="5" t="s">
        <v>363</v>
      </c>
      <c r="B44">
        <v>1</v>
      </c>
      <c r="C44" s="5" t="s">
        <v>120</v>
      </c>
      <c r="D44">
        <v>923</v>
      </c>
      <c r="E44">
        <v>947</v>
      </c>
      <c r="F44">
        <v>1</v>
      </c>
      <c r="G44" s="5" t="s">
        <v>364</v>
      </c>
      <c r="H44" s="5" t="s">
        <v>198</v>
      </c>
      <c r="I44" s="5" t="s">
        <v>188</v>
      </c>
      <c r="J44" s="5" t="s">
        <v>189</v>
      </c>
      <c r="K44" s="5" t="s">
        <v>190</v>
      </c>
      <c r="L44" s="5" t="s">
        <v>365</v>
      </c>
      <c r="M44" s="5" t="s">
        <v>366</v>
      </c>
      <c r="N44" s="5" t="s">
        <v>119</v>
      </c>
      <c r="O44" s="5" t="s">
        <v>367</v>
      </c>
      <c r="P44" s="5" t="s">
        <v>368</v>
      </c>
      <c r="Q44" s="5" t="s">
        <v>195</v>
      </c>
    </row>
    <row r="45" spans="1:17" x14ac:dyDescent="0.2">
      <c r="A45" s="5" t="s">
        <v>369</v>
      </c>
      <c r="B45">
        <v>1</v>
      </c>
      <c r="C45" s="5" t="s">
        <v>124</v>
      </c>
      <c r="D45">
        <v>385</v>
      </c>
      <c r="E45">
        <v>405</v>
      </c>
      <c r="F45">
        <v>1</v>
      </c>
      <c r="G45" s="5" t="s">
        <v>370</v>
      </c>
      <c r="H45" s="5" t="s">
        <v>371</v>
      </c>
      <c r="I45" s="5" t="s">
        <v>188</v>
      </c>
      <c r="J45" s="5" t="s">
        <v>189</v>
      </c>
      <c r="K45" s="5" t="s">
        <v>190</v>
      </c>
      <c r="L45" s="5" t="s">
        <v>372</v>
      </c>
      <c r="M45" s="5" t="s">
        <v>373</v>
      </c>
      <c r="N45" s="5" t="s">
        <v>123</v>
      </c>
      <c r="O45" s="5" t="s">
        <v>374</v>
      </c>
      <c r="P45" s="5" t="s">
        <v>375</v>
      </c>
      <c r="Q45" s="5" t="s">
        <v>195</v>
      </c>
    </row>
    <row r="46" spans="1:17" x14ac:dyDescent="0.2">
      <c r="A46" s="5" t="s">
        <v>376</v>
      </c>
      <c r="B46">
        <v>1</v>
      </c>
      <c r="C46" s="5" t="s">
        <v>128</v>
      </c>
      <c r="D46">
        <v>1424</v>
      </c>
      <c r="E46">
        <v>1460</v>
      </c>
      <c r="F46">
        <v>1</v>
      </c>
      <c r="G46" s="5" t="s">
        <v>377</v>
      </c>
      <c r="H46" s="5" t="s">
        <v>209</v>
      </c>
      <c r="I46" s="5" t="s">
        <v>342</v>
      </c>
      <c r="J46" s="5" t="s">
        <v>189</v>
      </c>
      <c r="K46" s="5" t="s">
        <v>190</v>
      </c>
      <c r="L46" s="5" t="s">
        <v>378</v>
      </c>
      <c r="M46" s="5" t="s">
        <v>379</v>
      </c>
      <c r="N46" s="5" t="s">
        <v>127</v>
      </c>
      <c r="O46" s="5" t="s">
        <v>380</v>
      </c>
      <c r="P46" s="5" t="s">
        <v>381</v>
      </c>
      <c r="Q46" s="5" t="s">
        <v>195</v>
      </c>
    </row>
    <row r="47" spans="1:17" x14ac:dyDescent="0.2">
      <c r="A47" s="5" t="s">
        <v>382</v>
      </c>
      <c r="B47">
        <v>1</v>
      </c>
      <c r="C47" s="5" t="s">
        <v>132</v>
      </c>
      <c r="D47">
        <v>1251</v>
      </c>
      <c r="E47">
        <v>1268</v>
      </c>
      <c r="F47">
        <v>1</v>
      </c>
      <c r="G47" s="5" t="s">
        <v>383</v>
      </c>
      <c r="H47" s="5" t="s">
        <v>205</v>
      </c>
      <c r="I47" s="5" t="s">
        <v>188</v>
      </c>
      <c r="J47" s="5" t="s">
        <v>189</v>
      </c>
      <c r="K47" s="5" t="s">
        <v>190</v>
      </c>
      <c r="L47" s="5" t="s">
        <v>384</v>
      </c>
      <c r="M47" s="5" t="s">
        <v>385</v>
      </c>
      <c r="N47" s="5" t="s">
        <v>131</v>
      </c>
      <c r="O47" s="5" t="s">
        <v>386</v>
      </c>
      <c r="P47" s="5" t="s">
        <v>387</v>
      </c>
      <c r="Q47" s="5" t="s">
        <v>195</v>
      </c>
    </row>
    <row r="48" spans="1:17" x14ac:dyDescent="0.2">
      <c r="A48" s="5" t="s">
        <v>388</v>
      </c>
      <c r="B48">
        <v>2</v>
      </c>
      <c r="C48" s="5" t="s">
        <v>132</v>
      </c>
      <c r="D48">
        <v>1547</v>
      </c>
      <c r="E48">
        <v>1565</v>
      </c>
      <c r="F48">
        <v>1</v>
      </c>
      <c r="G48" s="5" t="s">
        <v>389</v>
      </c>
      <c r="H48" s="5" t="s">
        <v>390</v>
      </c>
      <c r="I48" s="5" t="s">
        <v>188</v>
      </c>
      <c r="J48" s="5" t="s">
        <v>189</v>
      </c>
      <c r="K48" s="5" t="s">
        <v>190</v>
      </c>
      <c r="L48" s="5" t="s">
        <v>391</v>
      </c>
      <c r="M48" s="5" t="s">
        <v>385</v>
      </c>
      <c r="N48" s="5" t="s">
        <v>131</v>
      </c>
      <c r="O48" s="5" t="s">
        <v>386</v>
      </c>
      <c r="P48" s="5" t="s">
        <v>387</v>
      </c>
      <c r="Q48" s="5" t="s">
        <v>195</v>
      </c>
    </row>
    <row r="49" spans="1:17" x14ac:dyDescent="0.2">
      <c r="A49" s="5" t="s">
        <v>392</v>
      </c>
      <c r="B49">
        <v>1</v>
      </c>
      <c r="C49" s="5" t="s">
        <v>138</v>
      </c>
      <c r="D49">
        <v>1636</v>
      </c>
      <c r="E49">
        <v>1652</v>
      </c>
      <c r="F49">
        <v>1</v>
      </c>
      <c r="G49" s="5" t="s">
        <v>393</v>
      </c>
      <c r="H49" s="5" t="s">
        <v>187</v>
      </c>
      <c r="I49" s="5" t="s">
        <v>188</v>
      </c>
      <c r="J49" s="5" t="s">
        <v>189</v>
      </c>
      <c r="K49" s="5" t="s">
        <v>190</v>
      </c>
      <c r="L49" s="5" t="s">
        <v>394</v>
      </c>
      <c r="M49" s="5" t="s">
        <v>395</v>
      </c>
      <c r="N49" s="5" t="s">
        <v>137</v>
      </c>
      <c r="O49" s="5" t="s">
        <v>396</v>
      </c>
      <c r="P49" s="5" t="s">
        <v>397</v>
      </c>
      <c r="Q49" s="5" t="s">
        <v>195</v>
      </c>
    </row>
    <row r="50" spans="1:17" x14ac:dyDescent="0.2">
      <c r="A50" s="5" t="s">
        <v>398</v>
      </c>
      <c r="B50">
        <v>1</v>
      </c>
      <c r="C50" s="5" t="s">
        <v>142</v>
      </c>
      <c r="D50">
        <v>1255</v>
      </c>
      <c r="E50">
        <v>1275</v>
      </c>
      <c r="F50">
        <v>1</v>
      </c>
      <c r="G50" s="5" t="s">
        <v>399</v>
      </c>
      <c r="H50" s="5" t="s">
        <v>187</v>
      </c>
      <c r="I50" s="5" t="s">
        <v>342</v>
      </c>
      <c r="J50" s="5" t="s">
        <v>189</v>
      </c>
      <c r="K50" s="5" t="s">
        <v>190</v>
      </c>
      <c r="L50" s="5" t="s">
        <v>400</v>
      </c>
      <c r="M50" s="5" t="s">
        <v>401</v>
      </c>
      <c r="N50" s="5" t="s">
        <v>141</v>
      </c>
      <c r="O50" s="5" t="s">
        <v>402</v>
      </c>
      <c r="P50" s="5" t="s">
        <v>403</v>
      </c>
      <c r="Q50" s="5" t="s">
        <v>195</v>
      </c>
    </row>
    <row r="51" spans="1:17" x14ac:dyDescent="0.2">
      <c r="A51" s="5" t="s">
        <v>404</v>
      </c>
      <c r="B51">
        <v>2</v>
      </c>
      <c r="C51" s="5" t="s">
        <v>142</v>
      </c>
      <c r="D51">
        <v>1375</v>
      </c>
      <c r="E51">
        <v>1399</v>
      </c>
      <c r="F51">
        <v>1</v>
      </c>
      <c r="G51" s="5" t="s">
        <v>405</v>
      </c>
      <c r="H51" s="5" t="s">
        <v>209</v>
      </c>
      <c r="I51" s="5" t="s">
        <v>342</v>
      </c>
      <c r="J51" s="5" t="s">
        <v>189</v>
      </c>
      <c r="K51" s="5" t="s">
        <v>190</v>
      </c>
      <c r="L51" s="5" t="s">
        <v>406</v>
      </c>
      <c r="M51" s="5" t="s">
        <v>401</v>
      </c>
      <c r="N51" s="5" t="s">
        <v>141</v>
      </c>
      <c r="O51" s="5" t="s">
        <v>402</v>
      </c>
      <c r="P51" s="5" t="s">
        <v>403</v>
      </c>
      <c r="Q51" s="5" t="s">
        <v>195</v>
      </c>
    </row>
    <row r="52" spans="1:17" x14ac:dyDescent="0.2">
      <c r="A52" s="5" t="s">
        <v>407</v>
      </c>
      <c r="B52">
        <v>3</v>
      </c>
      <c r="C52" s="5" t="s">
        <v>142</v>
      </c>
      <c r="D52">
        <v>1559</v>
      </c>
      <c r="E52">
        <v>1579</v>
      </c>
      <c r="F52">
        <v>1</v>
      </c>
      <c r="G52" s="5" t="s">
        <v>408</v>
      </c>
      <c r="H52" s="5" t="s">
        <v>209</v>
      </c>
      <c r="I52" s="5" t="s">
        <v>342</v>
      </c>
      <c r="J52" s="5" t="s">
        <v>189</v>
      </c>
      <c r="K52" s="5" t="s">
        <v>190</v>
      </c>
      <c r="L52" s="5" t="s">
        <v>409</v>
      </c>
      <c r="M52" s="5" t="s">
        <v>401</v>
      </c>
      <c r="N52" s="5" t="s">
        <v>141</v>
      </c>
      <c r="O52" s="5" t="s">
        <v>402</v>
      </c>
      <c r="P52" s="5" t="s">
        <v>403</v>
      </c>
      <c r="Q52" s="5" t="s">
        <v>195</v>
      </c>
    </row>
    <row r="53" spans="1:17" x14ac:dyDescent="0.2">
      <c r="A53" s="5" t="s">
        <v>410</v>
      </c>
      <c r="B53">
        <v>4</v>
      </c>
      <c r="C53" s="5" t="s">
        <v>142</v>
      </c>
      <c r="D53">
        <v>1588</v>
      </c>
      <c r="E53">
        <v>1618</v>
      </c>
      <c r="F53">
        <v>1</v>
      </c>
      <c r="G53" s="5" t="s">
        <v>411</v>
      </c>
      <c r="H53" s="5" t="s">
        <v>349</v>
      </c>
      <c r="I53" s="5" t="s">
        <v>342</v>
      </c>
      <c r="J53" s="5" t="s">
        <v>189</v>
      </c>
      <c r="K53" s="5" t="s">
        <v>190</v>
      </c>
      <c r="L53" s="5" t="s">
        <v>412</v>
      </c>
      <c r="M53" s="5" t="s">
        <v>401</v>
      </c>
      <c r="N53" s="5" t="s">
        <v>141</v>
      </c>
      <c r="O53" s="5" t="s">
        <v>402</v>
      </c>
      <c r="P53" s="5" t="s">
        <v>403</v>
      </c>
      <c r="Q53" s="5" t="s">
        <v>195</v>
      </c>
    </row>
    <row r="54" spans="1:17" x14ac:dyDescent="0.2">
      <c r="A54" s="5" t="s">
        <v>413</v>
      </c>
      <c r="B54">
        <v>1</v>
      </c>
      <c r="C54" s="5" t="s">
        <v>152</v>
      </c>
      <c r="D54">
        <v>999</v>
      </c>
      <c r="E54">
        <v>1021</v>
      </c>
      <c r="F54">
        <v>1</v>
      </c>
      <c r="G54" s="5" t="s">
        <v>414</v>
      </c>
      <c r="H54" s="5" t="s">
        <v>209</v>
      </c>
      <c r="I54" s="5" t="s">
        <v>188</v>
      </c>
      <c r="J54" s="5" t="s">
        <v>189</v>
      </c>
      <c r="K54" s="5" t="s">
        <v>190</v>
      </c>
      <c r="L54" s="5" t="s">
        <v>415</v>
      </c>
      <c r="M54" s="5" t="s">
        <v>416</v>
      </c>
      <c r="N54" s="5" t="s">
        <v>151</v>
      </c>
      <c r="O54" s="5" t="s">
        <v>417</v>
      </c>
      <c r="P54" s="5" t="s">
        <v>418</v>
      </c>
      <c r="Q54" s="5" t="s">
        <v>195</v>
      </c>
    </row>
    <row r="55" spans="1:17" x14ac:dyDescent="0.2">
      <c r="A55" s="5" t="s">
        <v>419</v>
      </c>
      <c r="B55">
        <v>2</v>
      </c>
      <c r="C55" s="5" t="s">
        <v>152</v>
      </c>
      <c r="D55">
        <v>1153</v>
      </c>
      <c r="E55">
        <v>1181</v>
      </c>
      <c r="F55">
        <v>1</v>
      </c>
      <c r="G55" s="5" t="s">
        <v>420</v>
      </c>
      <c r="H55" s="5" t="s">
        <v>187</v>
      </c>
      <c r="I55" s="5" t="s">
        <v>188</v>
      </c>
      <c r="J55" s="5" t="s">
        <v>189</v>
      </c>
      <c r="K55" s="5" t="s">
        <v>190</v>
      </c>
      <c r="L55" s="5" t="s">
        <v>421</v>
      </c>
      <c r="M55" s="5" t="s">
        <v>416</v>
      </c>
      <c r="N55" s="5" t="s">
        <v>151</v>
      </c>
      <c r="O55" s="5" t="s">
        <v>417</v>
      </c>
      <c r="P55" s="5" t="s">
        <v>418</v>
      </c>
      <c r="Q55" s="5" t="s">
        <v>195</v>
      </c>
    </row>
    <row r="56" spans="1:17" x14ac:dyDescent="0.2">
      <c r="A56" s="5" t="s">
        <v>422</v>
      </c>
      <c r="B56">
        <v>3</v>
      </c>
      <c r="C56" s="5" t="s">
        <v>152</v>
      </c>
      <c r="D56">
        <v>1213</v>
      </c>
      <c r="E56">
        <v>1239</v>
      </c>
      <c r="F56">
        <v>1</v>
      </c>
      <c r="G56" s="5" t="s">
        <v>423</v>
      </c>
      <c r="H56" s="5" t="s">
        <v>209</v>
      </c>
      <c r="I56" s="5" t="s">
        <v>188</v>
      </c>
      <c r="J56" s="5" t="s">
        <v>189</v>
      </c>
      <c r="K56" s="5" t="s">
        <v>190</v>
      </c>
      <c r="L56" s="5" t="s">
        <v>424</v>
      </c>
      <c r="M56" s="5" t="s">
        <v>416</v>
      </c>
      <c r="N56" s="5" t="s">
        <v>151</v>
      </c>
      <c r="O56" s="5" t="s">
        <v>417</v>
      </c>
      <c r="P56" s="5" t="s">
        <v>418</v>
      </c>
      <c r="Q56" s="5" t="s">
        <v>195</v>
      </c>
    </row>
    <row r="57" spans="1:17" x14ac:dyDescent="0.2">
      <c r="A57" s="5" t="s">
        <v>425</v>
      </c>
      <c r="B57">
        <v>4</v>
      </c>
      <c r="C57" s="5" t="s">
        <v>152</v>
      </c>
      <c r="D57">
        <v>1528</v>
      </c>
      <c r="E57">
        <v>1547</v>
      </c>
      <c r="F57">
        <v>1</v>
      </c>
      <c r="G57" s="5" t="s">
        <v>426</v>
      </c>
      <c r="H57" s="5" t="s">
        <v>390</v>
      </c>
      <c r="I57" s="5" t="s">
        <v>188</v>
      </c>
      <c r="J57" s="5" t="s">
        <v>189</v>
      </c>
      <c r="K57" s="5" t="s">
        <v>190</v>
      </c>
      <c r="L57" s="5" t="s">
        <v>427</v>
      </c>
      <c r="M57" s="5" t="s">
        <v>416</v>
      </c>
      <c r="N57" s="5" t="s">
        <v>151</v>
      </c>
      <c r="O57" s="5" t="s">
        <v>417</v>
      </c>
      <c r="P57" s="5" t="s">
        <v>418</v>
      </c>
      <c r="Q57" s="5" t="s">
        <v>195</v>
      </c>
    </row>
    <row r="58" spans="1:17" x14ac:dyDescent="0.2">
      <c r="A58" s="5" t="s">
        <v>428</v>
      </c>
      <c r="B58">
        <v>5</v>
      </c>
      <c r="C58" s="5" t="s">
        <v>152</v>
      </c>
      <c r="D58">
        <v>1730</v>
      </c>
      <c r="E58">
        <v>1769</v>
      </c>
      <c r="F58">
        <v>1</v>
      </c>
      <c r="G58" s="5" t="s">
        <v>429</v>
      </c>
      <c r="H58" s="5" t="s">
        <v>209</v>
      </c>
      <c r="I58" s="5" t="s">
        <v>188</v>
      </c>
      <c r="J58" s="5" t="s">
        <v>189</v>
      </c>
      <c r="K58" s="5" t="s">
        <v>190</v>
      </c>
      <c r="L58" s="5" t="s">
        <v>430</v>
      </c>
      <c r="M58" s="5" t="s">
        <v>416</v>
      </c>
      <c r="N58" s="5" t="s">
        <v>151</v>
      </c>
      <c r="O58" s="5" t="s">
        <v>417</v>
      </c>
      <c r="P58" s="5" t="s">
        <v>418</v>
      </c>
      <c r="Q58" s="5" t="s">
        <v>195</v>
      </c>
    </row>
    <row r="59" spans="1:17" x14ac:dyDescent="0.2">
      <c r="A59" s="5" t="s">
        <v>431</v>
      </c>
      <c r="B59">
        <v>6</v>
      </c>
      <c r="C59" s="5" t="s">
        <v>152</v>
      </c>
      <c r="D59">
        <v>1781</v>
      </c>
      <c r="E59">
        <v>1816</v>
      </c>
      <c r="F59">
        <v>1</v>
      </c>
      <c r="G59" s="5" t="s">
        <v>432</v>
      </c>
      <c r="H59" s="5" t="s">
        <v>390</v>
      </c>
      <c r="I59" s="5" t="s">
        <v>188</v>
      </c>
      <c r="J59" s="5" t="s">
        <v>189</v>
      </c>
      <c r="K59" s="5" t="s">
        <v>190</v>
      </c>
      <c r="L59" s="5" t="s">
        <v>433</v>
      </c>
      <c r="M59" s="5" t="s">
        <v>416</v>
      </c>
      <c r="N59" s="5" t="s">
        <v>151</v>
      </c>
      <c r="O59" s="5" t="s">
        <v>417</v>
      </c>
      <c r="P59" s="5" t="s">
        <v>418</v>
      </c>
      <c r="Q59" s="5" t="s">
        <v>195</v>
      </c>
    </row>
    <row r="60" spans="1:17" x14ac:dyDescent="0.2">
      <c r="A60" s="5" t="s">
        <v>434</v>
      </c>
      <c r="B60">
        <v>7</v>
      </c>
      <c r="C60" s="5" t="s">
        <v>152</v>
      </c>
      <c r="D60">
        <v>1817</v>
      </c>
      <c r="E60">
        <v>1831</v>
      </c>
      <c r="F60">
        <v>1</v>
      </c>
      <c r="G60" s="5" t="s">
        <v>435</v>
      </c>
      <c r="H60" s="5" t="s">
        <v>390</v>
      </c>
      <c r="I60" s="5" t="s">
        <v>188</v>
      </c>
      <c r="J60" s="5" t="s">
        <v>189</v>
      </c>
      <c r="K60" s="5" t="s">
        <v>190</v>
      </c>
      <c r="L60" s="5" t="s">
        <v>436</v>
      </c>
      <c r="M60" s="5" t="s">
        <v>416</v>
      </c>
      <c r="N60" s="5" t="s">
        <v>151</v>
      </c>
      <c r="O60" s="5" t="s">
        <v>417</v>
      </c>
      <c r="P60" s="5" t="s">
        <v>418</v>
      </c>
      <c r="Q60" s="5" t="s">
        <v>195</v>
      </c>
    </row>
    <row r="61" spans="1:17" x14ac:dyDescent="0.2">
      <c r="A61" s="5" t="s">
        <v>437</v>
      </c>
      <c r="B61">
        <v>8</v>
      </c>
      <c r="C61" s="5" t="s">
        <v>152</v>
      </c>
      <c r="D61">
        <v>1907</v>
      </c>
      <c r="E61">
        <v>1919</v>
      </c>
      <c r="F61">
        <v>1</v>
      </c>
      <c r="G61" s="5" t="s">
        <v>438</v>
      </c>
      <c r="H61" s="5" t="s">
        <v>187</v>
      </c>
      <c r="I61" s="5" t="s">
        <v>188</v>
      </c>
      <c r="J61" s="5" t="s">
        <v>189</v>
      </c>
      <c r="K61" s="5" t="s">
        <v>190</v>
      </c>
      <c r="L61" s="5" t="s">
        <v>439</v>
      </c>
      <c r="M61" s="5" t="s">
        <v>416</v>
      </c>
      <c r="N61" s="5" t="s">
        <v>151</v>
      </c>
      <c r="O61" s="5" t="s">
        <v>417</v>
      </c>
      <c r="P61" s="5" t="s">
        <v>418</v>
      </c>
      <c r="Q61" s="5" t="s">
        <v>195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CB79-FD9E-794C-AE1D-738F1A1B5B88}">
  <dimension ref="A1:Q61"/>
  <sheetViews>
    <sheetView workbookViewId="0"/>
  </sheetViews>
  <sheetFormatPr baseColWidth="10" defaultRowHeight="16" x14ac:dyDescent="0.2"/>
  <cols>
    <col min="1" max="1" width="14.83203125" bestFit="1" customWidth="1"/>
    <col min="2" max="2" width="16.1640625" bestFit="1" customWidth="1"/>
    <col min="3" max="3" width="17.6640625" bestFit="1" customWidth="1"/>
    <col min="4" max="4" width="15.5" bestFit="1" customWidth="1"/>
    <col min="5" max="5" width="14.5" bestFit="1" customWidth="1"/>
    <col min="6" max="6" width="19" bestFit="1" customWidth="1"/>
    <col min="7" max="7" width="80.6640625" bestFit="1" customWidth="1"/>
    <col min="8" max="8" width="13.33203125" bestFit="1" customWidth="1"/>
    <col min="9" max="9" width="7.33203125" bestFit="1" customWidth="1"/>
    <col min="10" max="10" width="19.1640625" bestFit="1" customWidth="1"/>
    <col min="11" max="11" width="12.33203125" bestFit="1" customWidth="1"/>
    <col min="12" max="13" width="36.5" bestFit="1" customWidth="1"/>
    <col min="14" max="14" width="43.1640625" bestFit="1" customWidth="1"/>
    <col min="15" max="15" width="77" bestFit="1" customWidth="1"/>
    <col min="16" max="16" width="80.6640625" bestFit="1" customWidth="1"/>
    <col min="17" max="17" width="12.6640625" bestFit="1" customWidth="1"/>
  </cols>
  <sheetData>
    <row r="1" spans="1:17" x14ac:dyDescent="0.2">
      <c r="A1" t="s">
        <v>169</v>
      </c>
      <c r="B1" t="s">
        <v>170</v>
      </c>
      <c r="C1" t="s">
        <v>171</v>
      </c>
      <c r="D1" t="s">
        <v>172</v>
      </c>
      <c r="E1" t="s">
        <v>173</v>
      </c>
      <c r="F1" t="s">
        <v>174</v>
      </c>
      <c r="G1" t="s">
        <v>175</v>
      </c>
      <c r="H1" t="s">
        <v>176</v>
      </c>
      <c r="I1" t="s">
        <v>177</v>
      </c>
      <c r="J1" t="s">
        <v>178</v>
      </c>
      <c r="K1" t="s">
        <v>179</v>
      </c>
      <c r="L1" t="s">
        <v>0</v>
      </c>
      <c r="M1" t="s">
        <v>180</v>
      </c>
      <c r="N1" t="s">
        <v>181</v>
      </c>
      <c r="O1" t="s">
        <v>182</v>
      </c>
      <c r="P1" t="s">
        <v>183</v>
      </c>
      <c r="Q1" t="s">
        <v>184</v>
      </c>
    </row>
    <row r="2" spans="1:17" x14ac:dyDescent="0.2">
      <c r="A2" s="5" t="s">
        <v>185</v>
      </c>
      <c r="B2">
        <v>1</v>
      </c>
      <c r="C2" s="5" t="s">
        <v>13</v>
      </c>
      <c r="D2">
        <v>757</v>
      </c>
      <c r="E2">
        <v>786</v>
      </c>
      <c r="F2">
        <v>1</v>
      </c>
      <c r="G2" s="5" t="s">
        <v>440</v>
      </c>
      <c r="H2" s="5" t="s">
        <v>187</v>
      </c>
      <c r="I2" s="5" t="s">
        <v>188</v>
      </c>
      <c r="J2" s="5" t="s">
        <v>189</v>
      </c>
      <c r="K2" s="5" t="s">
        <v>190</v>
      </c>
      <c r="L2" s="5" t="s">
        <v>191</v>
      </c>
      <c r="M2" s="5" t="s">
        <v>192</v>
      </c>
      <c r="N2" s="5" t="s">
        <v>12</v>
      </c>
      <c r="O2" s="5" t="s">
        <v>193</v>
      </c>
      <c r="P2" s="5" t="s">
        <v>194</v>
      </c>
      <c r="Q2" s="5" t="s">
        <v>195</v>
      </c>
    </row>
    <row r="3" spans="1:17" x14ac:dyDescent="0.2">
      <c r="A3" s="5" t="s">
        <v>196</v>
      </c>
      <c r="B3">
        <v>2</v>
      </c>
      <c r="C3" s="5" t="s">
        <v>13</v>
      </c>
      <c r="D3">
        <v>922</v>
      </c>
      <c r="E3">
        <v>955</v>
      </c>
      <c r="F3">
        <v>1</v>
      </c>
      <c r="G3" s="5" t="s">
        <v>197</v>
      </c>
      <c r="H3" s="5" t="s">
        <v>198</v>
      </c>
      <c r="I3" s="5" t="s">
        <v>188</v>
      </c>
      <c r="J3" s="5" t="s">
        <v>189</v>
      </c>
      <c r="K3" s="5" t="s">
        <v>190</v>
      </c>
      <c r="L3" s="5" t="s">
        <v>199</v>
      </c>
      <c r="M3" s="5" t="s">
        <v>192</v>
      </c>
      <c r="N3" s="5" t="s">
        <v>12</v>
      </c>
      <c r="O3" s="5" t="s">
        <v>193</v>
      </c>
      <c r="P3" s="5" t="s">
        <v>194</v>
      </c>
      <c r="Q3" s="5" t="s">
        <v>195</v>
      </c>
    </row>
    <row r="4" spans="1:17" x14ac:dyDescent="0.2">
      <c r="A4" s="5" t="s">
        <v>200</v>
      </c>
      <c r="B4">
        <v>3</v>
      </c>
      <c r="C4" s="5" t="s">
        <v>13</v>
      </c>
      <c r="D4">
        <v>1036</v>
      </c>
      <c r="E4">
        <v>1054</v>
      </c>
      <c r="F4">
        <v>1</v>
      </c>
      <c r="G4" s="5" t="s">
        <v>201</v>
      </c>
      <c r="H4" s="5" t="s">
        <v>187</v>
      </c>
      <c r="I4" s="5" t="s">
        <v>188</v>
      </c>
      <c r="J4" s="5" t="s">
        <v>189</v>
      </c>
      <c r="K4" s="5" t="s">
        <v>190</v>
      </c>
      <c r="L4" s="5" t="s">
        <v>202</v>
      </c>
      <c r="M4" s="5" t="s">
        <v>192</v>
      </c>
      <c r="N4" s="5" t="s">
        <v>12</v>
      </c>
      <c r="O4" s="5" t="s">
        <v>193</v>
      </c>
      <c r="P4" s="5" t="s">
        <v>194</v>
      </c>
      <c r="Q4" s="5" t="s">
        <v>195</v>
      </c>
    </row>
    <row r="5" spans="1:17" x14ac:dyDescent="0.2">
      <c r="A5" s="5" t="s">
        <v>203</v>
      </c>
      <c r="B5">
        <v>4</v>
      </c>
      <c r="C5" s="5" t="s">
        <v>13</v>
      </c>
      <c r="D5">
        <v>1056</v>
      </c>
      <c r="E5">
        <v>1073</v>
      </c>
      <c r="F5">
        <v>1</v>
      </c>
      <c r="G5" s="5" t="s">
        <v>204</v>
      </c>
      <c r="H5" s="5" t="s">
        <v>205</v>
      </c>
      <c r="I5" s="5" t="s">
        <v>188</v>
      </c>
      <c r="J5" s="5" t="s">
        <v>189</v>
      </c>
      <c r="K5" s="5" t="s">
        <v>190</v>
      </c>
      <c r="L5" s="5" t="s">
        <v>206</v>
      </c>
      <c r="M5" s="5" t="s">
        <v>192</v>
      </c>
      <c r="N5" s="5" t="s">
        <v>12</v>
      </c>
      <c r="O5" s="5" t="s">
        <v>193</v>
      </c>
      <c r="P5" s="5" t="s">
        <v>194</v>
      </c>
      <c r="Q5" s="5" t="s">
        <v>195</v>
      </c>
    </row>
    <row r="6" spans="1:17" x14ac:dyDescent="0.2">
      <c r="A6" s="5" t="s">
        <v>207</v>
      </c>
      <c r="B6">
        <v>5</v>
      </c>
      <c r="C6" s="5" t="s">
        <v>13</v>
      </c>
      <c r="D6">
        <v>1101</v>
      </c>
      <c r="E6">
        <v>1121</v>
      </c>
      <c r="F6">
        <v>1</v>
      </c>
      <c r="G6" s="5" t="s">
        <v>208</v>
      </c>
      <c r="H6" s="5" t="s">
        <v>209</v>
      </c>
      <c r="I6" s="5" t="s">
        <v>188</v>
      </c>
      <c r="J6" s="5" t="s">
        <v>189</v>
      </c>
      <c r="K6" s="5" t="s">
        <v>190</v>
      </c>
      <c r="L6" s="5" t="s">
        <v>210</v>
      </c>
      <c r="M6" s="5" t="s">
        <v>192</v>
      </c>
      <c r="N6" s="5" t="s">
        <v>12</v>
      </c>
      <c r="O6" s="5" t="s">
        <v>193</v>
      </c>
      <c r="P6" s="5" t="s">
        <v>194</v>
      </c>
      <c r="Q6" s="5" t="s">
        <v>195</v>
      </c>
    </row>
    <row r="7" spans="1:17" x14ac:dyDescent="0.2">
      <c r="A7" s="5" t="s">
        <v>211</v>
      </c>
      <c r="B7">
        <v>1</v>
      </c>
      <c r="C7" s="5" t="s">
        <v>25</v>
      </c>
      <c r="D7">
        <v>1129</v>
      </c>
      <c r="E7">
        <v>1148</v>
      </c>
      <c r="F7">
        <v>1</v>
      </c>
      <c r="G7" s="5" t="s">
        <v>441</v>
      </c>
      <c r="H7" s="5" t="s">
        <v>209</v>
      </c>
      <c r="I7" s="5" t="s">
        <v>188</v>
      </c>
      <c r="J7" s="5" t="s">
        <v>189</v>
      </c>
      <c r="K7" s="5" t="s">
        <v>190</v>
      </c>
      <c r="L7" s="5" t="s">
        <v>213</v>
      </c>
      <c r="M7" s="5" t="s">
        <v>214</v>
      </c>
      <c r="N7" s="5" t="s">
        <v>24</v>
      </c>
      <c r="O7" s="5" t="s">
        <v>215</v>
      </c>
      <c r="P7" s="5" t="s">
        <v>216</v>
      </c>
      <c r="Q7" s="5" t="s">
        <v>195</v>
      </c>
    </row>
    <row r="8" spans="1:17" x14ac:dyDescent="0.2">
      <c r="A8" s="5" t="s">
        <v>217</v>
      </c>
      <c r="B8">
        <v>1</v>
      </c>
      <c r="C8" s="5" t="s">
        <v>29</v>
      </c>
      <c r="D8">
        <v>856</v>
      </c>
      <c r="E8">
        <v>873</v>
      </c>
      <c r="F8">
        <v>1</v>
      </c>
      <c r="G8" s="5" t="s">
        <v>442</v>
      </c>
      <c r="H8" s="5" t="s">
        <v>209</v>
      </c>
      <c r="I8" s="5" t="s">
        <v>219</v>
      </c>
      <c r="J8" s="5" t="s">
        <v>189</v>
      </c>
      <c r="K8" s="5" t="s">
        <v>190</v>
      </c>
      <c r="L8" s="5" t="s">
        <v>220</v>
      </c>
      <c r="M8" s="5" t="s">
        <v>221</v>
      </c>
      <c r="N8" s="5" t="s">
        <v>28</v>
      </c>
      <c r="O8" s="5" t="s">
        <v>222</v>
      </c>
      <c r="P8" s="5" t="s">
        <v>223</v>
      </c>
      <c r="Q8" s="5" t="s">
        <v>195</v>
      </c>
    </row>
    <row r="9" spans="1:17" x14ac:dyDescent="0.2">
      <c r="A9" s="5" t="s">
        <v>224</v>
      </c>
      <c r="B9">
        <v>1</v>
      </c>
      <c r="C9" s="5" t="s">
        <v>33</v>
      </c>
      <c r="D9">
        <v>801</v>
      </c>
      <c r="E9">
        <v>810</v>
      </c>
      <c r="F9">
        <v>1</v>
      </c>
      <c r="G9" s="5" t="s">
        <v>443</v>
      </c>
      <c r="H9" s="5" t="s">
        <v>209</v>
      </c>
      <c r="I9" s="5" t="s">
        <v>188</v>
      </c>
      <c r="J9" s="5" t="s">
        <v>189</v>
      </c>
      <c r="K9" s="5" t="s">
        <v>190</v>
      </c>
      <c r="L9" s="5" t="s">
        <v>226</v>
      </c>
      <c r="M9" s="5" t="s">
        <v>227</v>
      </c>
      <c r="N9" s="5" t="s">
        <v>32</v>
      </c>
      <c r="O9" s="5" t="s">
        <v>228</v>
      </c>
      <c r="P9" s="5" t="s">
        <v>229</v>
      </c>
      <c r="Q9" s="5" t="s">
        <v>195</v>
      </c>
    </row>
    <row r="10" spans="1:17" x14ac:dyDescent="0.2">
      <c r="A10" s="5" t="s">
        <v>230</v>
      </c>
      <c r="B10">
        <v>2</v>
      </c>
      <c r="C10" s="5" t="s">
        <v>33</v>
      </c>
      <c r="D10">
        <v>1125</v>
      </c>
      <c r="E10">
        <v>1138</v>
      </c>
      <c r="F10">
        <v>1</v>
      </c>
      <c r="G10" s="5" t="s">
        <v>231</v>
      </c>
      <c r="H10" s="5" t="s">
        <v>187</v>
      </c>
      <c r="I10" s="5" t="s">
        <v>188</v>
      </c>
      <c r="J10" s="5" t="s">
        <v>189</v>
      </c>
      <c r="K10" s="5" t="s">
        <v>190</v>
      </c>
      <c r="L10" s="5" t="s">
        <v>232</v>
      </c>
      <c r="M10" s="5" t="s">
        <v>227</v>
      </c>
      <c r="N10" s="5" t="s">
        <v>32</v>
      </c>
      <c r="O10" s="5" t="s">
        <v>228</v>
      </c>
      <c r="P10" s="5" t="s">
        <v>229</v>
      </c>
      <c r="Q10" s="5" t="s">
        <v>195</v>
      </c>
    </row>
    <row r="11" spans="1:17" x14ac:dyDescent="0.2">
      <c r="A11" s="5" t="s">
        <v>233</v>
      </c>
      <c r="B11">
        <v>3</v>
      </c>
      <c r="C11" s="5" t="s">
        <v>33</v>
      </c>
      <c r="D11">
        <v>1139</v>
      </c>
      <c r="E11">
        <v>1161</v>
      </c>
      <c r="F11">
        <v>1</v>
      </c>
      <c r="G11" s="5" t="s">
        <v>444</v>
      </c>
      <c r="H11" s="5" t="s">
        <v>390</v>
      </c>
      <c r="I11" s="5" t="s">
        <v>188</v>
      </c>
      <c r="J11" s="5" t="s">
        <v>189</v>
      </c>
      <c r="K11" s="5" t="s">
        <v>190</v>
      </c>
      <c r="L11" s="5" t="s">
        <v>235</v>
      </c>
      <c r="M11" s="5" t="s">
        <v>227</v>
      </c>
      <c r="N11" s="5" t="s">
        <v>32</v>
      </c>
      <c r="O11" s="5" t="s">
        <v>228</v>
      </c>
      <c r="P11" s="5" t="s">
        <v>229</v>
      </c>
      <c r="Q11" s="5" t="s">
        <v>195</v>
      </c>
    </row>
    <row r="12" spans="1:17" x14ac:dyDescent="0.2">
      <c r="A12" s="5" t="s">
        <v>236</v>
      </c>
      <c r="B12">
        <v>4</v>
      </c>
      <c r="C12" s="5" t="s">
        <v>33</v>
      </c>
      <c r="D12">
        <v>1181</v>
      </c>
      <c r="E12">
        <v>1189</v>
      </c>
      <c r="F12">
        <v>1</v>
      </c>
      <c r="G12" s="5" t="s">
        <v>237</v>
      </c>
      <c r="H12" s="5" t="s">
        <v>209</v>
      </c>
      <c r="I12" s="5" t="s">
        <v>188</v>
      </c>
      <c r="J12" s="5" t="s">
        <v>189</v>
      </c>
      <c r="K12" s="5" t="s">
        <v>190</v>
      </c>
      <c r="L12" s="5" t="s">
        <v>238</v>
      </c>
      <c r="M12" s="5" t="s">
        <v>227</v>
      </c>
      <c r="N12" s="5" t="s">
        <v>32</v>
      </c>
      <c r="O12" s="5" t="s">
        <v>228</v>
      </c>
      <c r="P12" s="5" t="s">
        <v>229</v>
      </c>
      <c r="Q12" s="5" t="s">
        <v>195</v>
      </c>
    </row>
    <row r="13" spans="1:17" x14ac:dyDescent="0.2">
      <c r="A13" s="5" t="s">
        <v>239</v>
      </c>
      <c r="B13">
        <v>5</v>
      </c>
      <c r="C13" s="5" t="s">
        <v>33</v>
      </c>
      <c r="D13">
        <v>1499</v>
      </c>
      <c r="E13">
        <v>1514</v>
      </c>
      <c r="F13">
        <v>1</v>
      </c>
      <c r="G13" s="5" t="s">
        <v>240</v>
      </c>
      <c r="H13" s="5" t="s">
        <v>187</v>
      </c>
      <c r="I13" s="5" t="s">
        <v>188</v>
      </c>
      <c r="J13" s="5" t="s">
        <v>189</v>
      </c>
      <c r="K13" s="5" t="s">
        <v>190</v>
      </c>
      <c r="L13" s="5" t="s">
        <v>241</v>
      </c>
      <c r="M13" s="5" t="s">
        <v>227</v>
      </c>
      <c r="N13" s="5" t="s">
        <v>32</v>
      </c>
      <c r="O13" s="5" t="s">
        <v>228</v>
      </c>
      <c r="P13" s="5" t="s">
        <v>229</v>
      </c>
      <c r="Q13" s="5" t="s">
        <v>195</v>
      </c>
    </row>
    <row r="14" spans="1:17" x14ac:dyDescent="0.2">
      <c r="A14" s="5" t="s">
        <v>242</v>
      </c>
      <c r="B14">
        <v>1</v>
      </c>
      <c r="C14" s="5" t="s">
        <v>45</v>
      </c>
      <c r="D14">
        <v>542</v>
      </c>
      <c r="E14">
        <v>553</v>
      </c>
      <c r="F14">
        <v>1</v>
      </c>
      <c r="G14" s="5" t="s">
        <v>445</v>
      </c>
      <c r="H14" s="5" t="s">
        <v>349</v>
      </c>
      <c r="I14" s="5" t="s">
        <v>188</v>
      </c>
      <c r="J14" s="5" t="s">
        <v>189</v>
      </c>
      <c r="K14" s="5" t="s">
        <v>190</v>
      </c>
      <c r="L14" s="5" t="s">
        <v>244</v>
      </c>
      <c r="M14" s="5" t="s">
        <v>245</v>
      </c>
      <c r="N14" s="5" t="s">
        <v>44</v>
      </c>
      <c r="O14" s="5" t="s">
        <v>246</v>
      </c>
      <c r="P14" s="5" t="s">
        <v>247</v>
      </c>
      <c r="Q14" s="5" t="s">
        <v>195</v>
      </c>
    </row>
    <row r="15" spans="1:17" x14ac:dyDescent="0.2">
      <c r="A15" s="5" t="s">
        <v>248</v>
      </c>
      <c r="B15">
        <v>2</v>
      </c>
      <c r="C15" s="5" t="s">
        <v>45</v>
      </c>
      <c r="D15">
        <v>554</v>
      </c>
      <c r="E15">
        <v>578</v>
      </c>
      <c r="F15">
        <v>1</v>
      </c>
      <c r="G15" s="5" t="s">
        <v>446</v>
      </c>
      <c r="H15" s="5" t="s">
        <v>209</v>
      </c>
      <c r="I15" s="5" t="s">
        <v>188</v>
      </c>
      <c r="J15" s="5" t="s">
        <v>189</v>
      </c>
      <c r="K15" s="5" t="s">
        <v>190</v>
      </c>
      <c r="L15" s="5" t="s">
        <v>250</v>
      </c>
      <c r="M15" s="5" t="s">
        <v>245</v>
      </c>
      <c r="N15" s="5" t="s">
        <v>44</v>
      </c>
      <c r="O15" s="5" t="s">
        <v>246</v>
      </c>
      <c r="P15" s="5" t="s">
        <v>247</v>
      </c>
      <c r="Q15" s="5" t="s">
        <v>195</v>
      </c>
    </row>
    <row r="16" spans="1:17" x14ac:dyDescent="0.2">
      <c r="A16" s="5" t="s">
        <v>251</v>
      </c>
      <c r="B16">
        <v>3</v>
      </c>
      <c r="C16" s="5" t="s">
        <v>45</v>
      </c>
      <c r="D16">
        <v>970</v>
      </c>
      <c r="E16">
        <v>1007</v>
      </c>
      <c r="F16">
        <v>1</v>
      </c>
      <c r="G16" s="5" t="s">
        <v>447</v>
      </c>
      <c r="H16" s="5" t="s">
        <v>253</v>
      </c>
      <c r="I16" s="5" t="s">
        <v>188</v>
      </c>
      <c r="J16" s="5" t="s">
        <v>189</v>
      </c>
      <c r="K16" s="5" t="s">
        <v>190</v>
      </c>
      <c r="L16" s="5" t="s">
        <v>254</v>
      </c>
      <c r="M16" s="5" t="s">
        <v>245</v>
      </c>
      <c r="N16" s="5" t="s">
        <v>44</v>
      </c>
      <c r="O16" s="5" t="s">
        <v>246</v>
      </c>
      <c r="P16" s="5" t="s">
        <v>247</v>
      </c>
      <c r="Q16" s="5" t="s">
        <v>195</v>
      </c>
    </row>
    <row r="17" spans="1:17" x14ac:dyDescent="0.2">
      <c r="A17" s="5" t="s">
        <v>255</v>
      </c>
      <c r="B17">
        <v>4</v>
      </c>
      <c r="C17" s="5" t="s">
        <v>45</v>
      </c>
      <c r="D17">
        <v>1451</v>
      </c>
      <c r="E17">
        <v>1473</v>
      </c>
      <c r="F17">
        <v>1</v>
      </c>
      <c r="G17" s="5" t="s">
        <v>256</v>
      </c>
      <c r="H17" s="5" t="s">
        <v>187</v>
      </c>
      <c r="I17" s="5" t="s">
        <v>188</v>
      </c>
      <c r="J17" s="5" t="s">
        <v>189</v>
      </c>
      <c r="K17" s="5" t="s">
        <v>190</v>
      </c>
      <c r="L17" s="5" t="s">
        <v>257</v>
      </c>
      <c r="M17" s="5" t="s">
        <v>245</v>
      </c>
      <c r="N17" s="5" t="s">
        <v>44</v>
      </c>
      <c r="O17" s="5" t="s">
        <v>246</v>
      </c>
      <c r="P17" s="5" t="s">
        <v>247</v>
      </c>
      <c r="Q17" s="5" t="s">
        <v>195</v>
      </c>
    </row>
    <row r="18" spans="1:17" x14ac:dyDescent="0.2">
      <c r="A18" s="5" t="s">
        <v>258</v>
      </c>
      <c r="B18">
        <v>1</v>
      </c>
      <c r="C18" s="5" t="s">
        <v>55</v>
      </c>
      <c r="D18">
        <v>882</v>
      </c>
      <c r="E18">
        <v>904</v>
      </c>
      <c r="F18">
        <v>1</v>
      </c>
      <c r="G18" s="5" t="s">
        <v>448</v>
      </c>
      <c r="H18" s="5" t="s">
        <v>187</v>
      </c>
      <c r="I18" s="5" t="s">
        <v>188</v>
      </c>
      <c r="J18" s="5" t="s">
        <v>189</v>
      </c>
      <c r="K18" s="5" t="s">
        <v>190</v>
      </c>
      <c r="L18" s="5" t="s">
        <v>260</v>
      </c>
      <c r="M18" s="5" t="s">
        <v>261</v>
      </c>
      <c r="N18" s="5" t="s">
        <v>54</v>
      </c>
      <c r="O18" s="5" t="s">
        <v>262</v>
      </c>
      <c r="P18" s="5" t="s">
        <v>263</v>
      </c>
      <c r="Q18" s="5" t="s">
        <v>195</v>
      </c>
    </row>
    <row r="19" spans="1:17" x14ac:dyDescent="0.2">
      <c r="A19" s="5" t="s">
        <v>264</v>
      </c>
      <c r="B19">
        <v>2</v>
      </c>
      <c r="C19" s="5" t="s">
        <v>55</v>
      </c>
      <c r="D19">
        <v>965</v>
      </c>
      <c r="E19">
        <v>987</v>
      </c>
      <c r="F19">
        <v>1</v>
      </c>
      <c r="G19" s="5" t="s">
        <v>265</v>
      </c>
      <c r="H19" s="5" t="s">
        <v>205</v>
      </c>
      <c r="I19" s="5" t="s">
        <v>188</v>
      </c>
      <c r="J19" s="5" t="s">
        <v>189</v>
      </c>
      <c r="K19" s="5" t="s">
        <v>190</v>
      </c>
      <c r="L19" s="5" t="s">
        <v>266</v>
      </c>
      <c r="M19" s="5" t="s">
        <v>261</v>
      </c>
      <c r="N19" s="5" t="s">
        <v>54</v>
      </c>
      <c r="O19" s="5" t="s">
        <v>262</v>
      </c>
      <c r="P19" s="5" t="s">
        <v>263</v>
      </c>
      <c r="Q19" s="5" t="s">
        <v>195</v>
      </c>
    </row>
    <row r="20" spans="1:17" x14ac:dyDescent="0.2">
      <c r="A20" s="5" t="s">
        <v>267</v>
      </c>
      <c r="B20">
        <v>3</v>
      </c>
      <c r="C20" s="5" t="s">
        <v>55</v>
      </c>
      <c r="D20">
        <v>988</v>
      </c>
      <c r="E20">
        <v>1015</v>
      </c>
      <c r="F20">
        <v>1</v>
      </c>
      <c r="G20" s="5" t="s">
        <v>449</v>
      </c>
      <c r="H20" s="5" t="s">
        <v>209</v>
      </c>
      <c r="I20" s="5" t="s">
        <v>188</v>
      </c>
      <c r="J20" s="5" t="s">
        <v>189</v>
      </c>
      <c r="K20" s="5" t="s">
        <v>190</v>
      </c>
      <c r="L20" s="5" t="s">
        <v>270</v>
      </c>
      <c r="M20" s="5" t="s">
        <v>261</v>
      </c>
      <c r="N20" s="5" t="s">
        <v>54</v>
      </c>
      <c r="O20" s="5" t="s">
        <v>262</v>
      </c>
      <c r="P20" s="5" t="s">
        <v>263</v>
      </c>
      <c r="Q20" s="5" t="s">
        <v>195</v>
      </c>
    </row>
    <row r="21" spans="1:17" x14ac:dyDescent="0.2">
      <c r="A21" s="5" t="s">
        <v>271</v>
      </c>
      <c r="B21">
        <v>1</v>
      </c>
      <c r="C21" s="5" t="s">
        <v>63</v>
      </c>
      <c r="D21">
        <v>718</v>
      </c>
      <c r="E21">
        <v>759</v>
      </c>
      <c r="F21">
        <v>1</v>
      </c>
      <c r="G21" s="5" t="s">
        <v>272</v>
      </c>
      <c r="H21" s="5" t="s">
        <v>187</v>
      </c>
      <c r="I21" s="5" t="s">
        <v>188</v>
      </c>
      <c r="J21" s="5" t="s">
        <v>189</v>
      </c>
      <c r="K21" s="5" t="s">
        <v>190</v>
      </c>
      <c r="L21" s="5" t="s">
        <v>273</v>
      </c>
      <c r="M21" s="5" t="s">
        <v>274</v>
      </c>
      <c r="N21" s="5" t="s">
        <v>62</v>
      </c>
      <c r="O21" s="5" t="s">
        <v>275</v>
      </c>
      <c r="P21" s="5" t="s">
        <v>276</v>
      </c>
      <c r="Q21" s="5" t="s">
        <v>195</v>
      </c>
    </row>
    <row r="22" spans="1:17" x14ac:dyDescent="0.2">
      <c r="A22" s="5" t="s">
        <v>277</v>
      </c>
      <c r="B22">
        <v>2</v>
      </c>
      <c r="C22" s="5" t="s">
        <v>63</v>
      </c>
      <c r="D22">
        <v>762</v>
      </c>
      <c r="E22">
        <v>779</v>
      </c>
      <c r="F22">
        <v>1</v>
      </c>
      <c r="G22" s="5" t="s">
        <v>278</v>
      </c>
      <c r="H22" s="5" t="s">
        <v>187</v>
      </c>
      <c r="I22" s="5" t="s">
        <v>188</v>
      </c>
      <c r="J22" s="5" t="s">
        <v>189</v>
      </c>
      <c r="K22" s="5" t="s">
        <v>190</v>
      </c>
      <c r="L22" s="5" t="s">
        <v>279</v>
      </c>
      <c r="M22" s="5" t="s">
        <v>274</v>
      </c>
      <c r="N22" s="5" t="s">
        <v>62</v>
      </c>
      <c r="O22" s="5" t="s">
        <v>275</v>
      </c>
      <c r="P22" s="5" t="s">
        <v>276</v>
      </c>
      <c r="Q22" s="5" t="s">
        <v>195</v>
      </c>
    </row>
    <row r="23" spans="1:17" x14ac:dyDescent="0.2">
      <c r="A23" s="5" t="s">
        <v>280</v>
      </c>
      <c r="B23">
        <v>3</v>
      </c>
      <c r="C23" s="5" t="s">
        <v>63</v>
      </c>
      <c r="D23">
        <v>1065</v>
      </c>
      <c r="E23">
        <v>1093</v>
      </c>
      <c r="F23">
        <v>1</v>
      </c>
      <c r="G23" s="5" t="s">
        <v>450</v>
      </c>
      <c r="H23" s="5" t="s">
        <v>282</v>
      </c>
      <c r="I23" s="5" t="s">
        <v>188</v>
      </c>
      <c r="J23" s="5" t="s">
        <v>189</v>
      </c>
      <c r="K23" s="5" t="s">
        <v>190</v>
      </c>
      <c r="L23" s="5" t="s">
        <v>283</v>
      </c>
      <c r="M23" s="5" t="s">
        <v>274</v>
      </c>
      <c r="N23" s="5" t="s">
        <v>62</v>
      </c>
      <c r="O23" s="5" t="s">
        <v>275</v>
      </c>
      <c r="P23" s="5" t="s">
        <v>276</v>
      </c>
      <c r="Q23" s="5" t="s">
        <v>195</v>
      </c>
    </row>
    <row r="24" spans="1:17" x14ac:dyDescent="0.2">
      <c r="A24" s="5" t="s">
        <v>284</v>
      </c>
      <c r="B24">
        <v>4</v>
      </c>
      <c r="C24" s="5" t="s">
        <v>63</v>
      </c>
      <c r="D24">
        <v>1093</v>
      </c>
      <c r="E24">
        <v>1104</v>
      </c>
      <c r="F24">
        <v>1</v>
      </c>
      <c r="G24" s="5" t="s">
        <v>451</v>
      </c>
      <c r="H24" s="5" t="s">
        <v>209</v>
      </c>
      <c r="I24" s="5" t="s">
        <v>188</v>
      </c>
      <c r="J24" s="5" t="s">
        <v>189</v>
      </c>
      <c r="K24" s="5" t="s">
        <v>190</v>
      </c>
      <c r="L24" s="5" t="s">
        <v>286</v>
      </c>
      <c r="M24" s="5" t="s">
        <v>274</v>
      </c>
      <c r="N24" s="5" t="s">
        <v>62</v>
      </c>
      <c r="O24" s="5" t="s">
        <v>275</v>
      </c>
      <c r="P24" s="5" t="s">
        <v>276</v>
      </c>
      <c r="Q24" s="5" t="s">
        <v>195</v>
      </c>
    </row>
    <row r="25" spans="1:17" x14ac:dyDescent="0.2">
      <c r="A25" s="5" t="s">
        <v>287</v>
      </c>
      <c r="B25">
        <v>5</v>
      </c>
      <c r="C25" s="5" t="s">
        <v>63</v>
      </c>
      <c r="D25">
        <v>1160</v>
      </c>
      <c r="E25">
        <v>1183</v>
      </c>
      <c r="F25">
        <v>1</v>
      </c>
      <c r="G25" s="5" t="s">
        <v>452</v>
      </c>
      <c r="H25" s="5" t="s">
        <v>205</v>
      </c>
      <c r="I25" s="5" t="s">
        <v>188</v>
      </c>
      <c r="J25" s="5" t="s">
        <v>189</v>
      </c>
      <c r="K25" s="5" t="s">
        <v>190</v>
      </c>
      <c r="L25" s="5" t="s">
        <v>289</v>
      </c>
      <c r="M25" s="5" t="s">
        <v>274</v>
      </c>
      <c r="N25" s="5" t="s">
        <v>62</v>
      </c>
      <c r="O25" s="5" t="s">
        <v>275</v>
      </c>
      <c r="P25" s="5" t="s">
        <v>276</v>
      </c>
      <c r="Q25" s="5" t="s">
        <v>195</v>
      </c>
    </row>
    <row r="26" spans="1:17" x14ac:dyDescent="0.2">
      <c r="A26" s="5" t="s">
        <v>290</v>
      </c>
      <c r="B26">
        <v>6</v>
      </c>
      <c r="C26" s="5" t="s">
        <v>63</v>
      </c>
      <c r="D26">
        <v>1247</v>
      </c>
      <c r="E26">
        <v>1290</v>
      </c>
      <c r="F26">
        <v>1</v>
      </c>
      <c r="G26" s="5" t="s">
        <v>291</v>
      </c>
      <c r="H26" s="5" t="s">
        <v>205</v>
      </c>
      <c r="I26" s="5" t="s">
        <v>188</v>
      </c>
      <c r="J26" s="5" t="s">
        <v>189</v>
      </c>
      <c r="K26" s="5" t="s">
        <v>190</v>
      </c>
      <c r="L26" s="5" t="s">
        <v>292</v>
      </c>
      <c r="M26" s="5" t="s">
        <v>274</v>
      </c>
      <c r="N26" s="5" t="s">
        <v>62</v>
      </c>
      <c r="O26" s="5" t="s">
        <v>275</v>
      </c>
      <c r="P26" s="5" t="s">
        <v>276</v>
      </c>
      <c r="Q26" s="5" t="s">
        <v>195</v>
      </c>
    </row>
    <row r="27" spans="1:17" x14ac:dyDescent="0.2">
      <c r="A27" s="5" t="s">
        <v>293</v>
      </c>
      <c r="B27">
        <v>7</v>
      </c>
      <c r="C27" s="5" t="s">
        <v>63</v>
      </c>
      <c r="D27">
        <v>1513</v>
      </c>
      <c r="E27">
        <v>1536</v>
      </c>
      <c r="F27">
        <v>1</v>
      </c>
      <c r="G27" s="5" t="s">
        <v>294</v>
      </c>
      <c r="H27" s="5" t="s">
        <v>205</v>
      </c>
      <c r="I27" s="5" t="s">
        <v>188</v>
      </c>
      <c r="J27" s="5" t="s">
        <v>189</v>
      </c>
      <c r="K27" s="5" t="s">
        <v>190</v>
      </c>
      <c r="L27" s="5" t="s">
        <v>295</v>
      </c>
      <c r="M27" s="5" t="s">
        <v>274</v>
      </c>
      <c r="N27" s="5" t="s">
        <v>62</v>
      </c>
      <c r="O27" s="5" t="s">
        <v>275</v>
      </c>
      <c r="P27" s="5" t="s">
        <v>276</v>
      </c>
      <c r="Q27" s="5" t="s">
        <v>195</v>
      </c>
    </row>
    <row r="28" spans="1:17" x14ac:dyDescent="0.2">
      <c r="A28" s="5" t="s">
        <v>296</v>
      </c>
      <c r="B28">
        <v>8</v>
      </c>
      <c r="C28" s="5" t="s">
        <v>63</v>
      </c>
      <c r="D28">
        <v>1731</v>
      </c>
      <c r="E28">
        <v>1742</v>
      </c>
      <c r="F28">
        <v>1</v>
      </c>
      <c r="G28" s="5" t="s">
        <v>297</v>
      </c>
      <c r="H28" s="5" t="s">
        <v>209</v>
      </c>
      <c r="I28" s="5" t="s">
        <v>188</v>
      </c>
      <c r="J28" s="5" t="s">
        <v>189</v>
      </c>
      <c r="K28" s="5" t="s">
        <v>190</v>
      </c>
      <c r="L28" s="5" t="s">
        <v>298</v>
      </c>
      <c r="M28" s="5" t="s">
        <v>274</v>
      </c>
      <c r="N28" s="5" t="s">
        <v>62</v>
      </c>
      <c r="O28" s="5" t="s">
        <v>275</v>
      </c>
      <c r="P28" s="5" t="s">
        <v>276</v>
      </c>
      <c r="Q28" s="5" t="s">
        <v>195</v>
      </c>
    </row>
    <row r="29" spans="1:17" x14ac:dyDescent="0.2">
      <c r="A29" s="5" t="s">
        <v>299</v>
      </c>
      <c r="B29">
        <v>1</v>
      </c>
      <c r="C29" s="5" t="s">
        <v>81</v>
      </c>
      <c r="D29">
        <v>567</v>
      </c>
      <c r="E29">
        <v>586</v>
      </c>
      <c r="F29">
        <v>1</v>
      </c>
      <c r="G29" s="5" t="s">
        <v>453</v>
      </c>
      <c r="H29" s="5" t="s">
        <v>187</v>
      </c>
      <c r="I29" s="5" t="s">
        <v>188</v>
      </c>
      <c r="J29" s="5" t="s">
        <v>189</v>
      </c>
      <c r="K29" s="5" t="s">
        <v>190</v>
      </c>
      <c r="L29" s="5" t="s">
        <v>301</v>
      </c>
      <c r="M29" s="5" t="s">
        <v>302</v>
      </c>
      <c r="N29" s="5" t="s">
        <v>80</v>
      </c>
      <c r="O29" s="5" t="s">
        <v>303</v>
      </c>
      <c r="P29" s="5" t="s">
        <v>304</v>
      </c>
      <c r="Q29" s="5" t="s">
        <v>195</v>
      </c>
    </row>
    <row r="30" spans="1:17" x14ac:dyDescent="0.2">
      <c r="A30" s="5" t="s">
        <v>305</v>
      </c>
      <c r="B30">
        <v>2</v>
      </c>
      <c r="C30" s="5" t="s">
        <v>81</v>
      </c>
      <c r="D30">
        <v>765</v>
      </c>
      <c r="E30">
        <v>783</v>
      </c>
      <c r="F30">
        <v>1</v>
      </c>
      <c r="G30" s="5" t="s">
        <v>306</v>
      </c>
      <c r="H30" s="5" t="s">
        <v>187</v>
      </c>
      <c r="I30" s="5" t="s">
        <v>188</v>
      </c>
      <c r="J30" s="5" t="s">
        <v>189</v>
      </c>
      <c r="K30" s="5" t="s">
        <v>190</v>
      </c>
      <c r="L30" s="5" t="s">
        <v>307</v>
      </c>
      <c r="M30" s="5" t="s">
        <v>302</v>
      </c>
      <c r="N30" s="5" t="s">
        <v>80</v>
      </c>
      <c r="O30" s="5" t="s">
        <v>303</v>
      </c>
      <c r="P30" s="5" t="s">
        <v>304</v>
      </c>
      <c r="Q30" s="5" t="s">
        <v>195</v>
      </c>
    </row>
    <row r="31" spans="1:17" x14ac:dyDescent="0.2">
      <c r="A31" s="5" t="s">
        <v>308</v>
      </c>
      <c r="B31">
        <v>3</v>
      </c>
      <c r="C31" s="5" t="s">
        <v>81</v>
      </c>
      <c r="D31">
        <v>1053</v>
      </c>
      <c r="E31">
        <v>1068</v>
      </c>
      <c r="F31">
        <v>1</v>
      </c>
      <c r="G31" s="5" t="s">
        <v>454</v>
      </c>
      <c r="H31" s="5" t="s">
        <v>205</v>
      </c>
      <c r="I31" s="5" t="s">
        <v>188</v>
      </c>
      <c r="J31" s="5" t="s">
        <v>189</v>
      </c>
      <c r="K31" s="5" t="s">
        <v>190</v>
      </c>
      <c r="L31" s="5" t="s">
        <v>310</v>
      </c>
      <c r="M31" s="5" t="s">
        <v>302</v>
      </c>
      <c r="N31" s="5" t="s">
        <v>80</v>
      </c>
      <c r="O31" s="5" t="s">
        <v>303</v>
      </c>
      <c r="P31" s="5" t="s">
        <v>304</v>
      </c>
      <c r="Q31" s="5" t="s">
        <v>195</v>
      </c>
    </row>
    <row r="32" spans="1:17" x14ac:dyDescent="0.2">
      <c r="A32" s="5" t="s">
        <v>311</v>
      </c>
      <c r="B32">
        <v>4</v>
      </c>
      <c r="C32" s="5" t="s">
        <v>81</v>
      </c>
      <c r="D32">
        <v>1719</v>
      </c>
      <c r="E32">
        <v>1736</v>
      </c>
      <c r="F32">
        <v>1</v>
      </c>
      <c r="G32" s="5" t="s">
        <v>455</v>
      </c>
      <c r="H32" s="5" t="s">
        <v>209</v>
      </c>
      <c r="I32" s="5" t="s">
        <v>188</v>
      </c>
      <c r="J32" s="5" t="s">
        <v>189</v>
      </c>
      <c r="K32" s="5" t="s">
        <v>190</v>
      </c>
      <c r="L32" s="5" t="s">
        <v>313</v>
      </c>
      <c r="M32" s="5" t="s">
        <v>302</v>
      </c>
      <c r="N32" s="5" t="s">
        <v>80</v>
      </c>
      <c r="O32" s="5" t="s">
        <v>303</v>
      </c>
      <c r="P32" s="5" t="s">
        <v>304</v>
      </c>
      <c r="Q32" s="5" t="s">
        <v>195</v>
      </c>
    </row>
    <row r="33" spans="1:17" x14ac:dyDescent="0.2">
      <c r="A33" s="5" t="s">
        <v>314</v>
      </c>
      <c r="B33">
        <v>1</v>
      </c>
      <c r="C33" s="5" t="s">
        <v>315</v>
      </c>
      <c r="D33">
        <v>1065</v>
      </c>
      <c r="E33">
        <v>1094</v>
      </c>
      <c r="F33">
        <v>1</v>
      </c>
      <c r="G33" s="5" t="s">
        <v>316</v>
      </c>
      <c r="H33" s="5" t="s">
        <v>349</v>
      </c>
      <c r="I33" s="5" t="s">
        <v>188</v>
      </c>
      <c r="J33" s="5" t="s">
        <v>189</v>
      </c>
      <c r="K33" s="5" t="s">
        <v>190</v>
      </c>
      <c r="L33" s="5" t="s">
        <v>318</v>
      </c>
      <c r="M33" s="5" t="s">
        <v>319</v>
      </c>
      <c r="N33" s="5" t="s">
        <v>90</v>
      </c>
      <c r="O33" s="5" t="s">
        <v>320</v>
      </c>
      <c r="P33" s="5" t="s">
        <v>321</v>
      </c>
      <c r="Q33" s="5" t="s">
        <v>195</v>
      </c>
    </row>
    <row r="34" spans="1:17" x14ac:dyDescent="0.2">
      <c r="A34" s="5" t="s">
        <v>322</v>
      </c>
      <c r="B34">
        <v>2</v>
      </c>
      <c r="C34" s="5" t="s">
        <v>315</v>
      </c>
      <c r="D34">
        <v>1128</v>
      </c>
      <c r="E34">
        <v>1144</v>
      </c>
      <c r="F34">
        <v>1</v>
      </c>
      <c r="G34" s="5" t="s">
        <v>323</v>
      </c>
      <c r="H34" s="5" t="s">
        <v>209</v>
      </c>
      <c r="I34" s="5" t="s">
        <v>188</v>
      </c>
      <c r="J34" s="5" t="s">
        <v>189</v>
      </c>
      <c r="K34" s="5" t="s">
        <v>190</v>
      </c>
      <c r="L34" s="5" t="s">
        <v>324</v>
      </c>
      <c r="M34" s="5" t="s">
        <v>319</v>
      </c>
      <c r="N34" s="5" t="s">
        <v>90</v>
      </c>
      <c r="O34" s="5" t="s">
        <v>320</v>
      </c>
      <c r="P34" s="5" t="s">
        <v>321</v>
      </c>
      <c r="Q34" s="5" t="s">
        <v>195</v>
      </c>
    </row>
    <row r="35" spans="1:17" x14ac:dyDescent="0.2">
      <c r="A35" s="5" t="s">
        <v>325</v>
      </c>
      <c r="B35">
        <v>3</v>
      </c>
      <c r="C35" s="5" t="s">
        <v>315</v>
      </c>
      <c r="D35">
        <v>1352</v>
      </c>
      <c r="E35">
        <v>1368</v>
      </c>
      <c r="F35">
        <v>1</v>
      </c>
      <c r="G35" s="5" t="s">
        <v>326</v>
      </c>
      <c r="H35" s="5" t="s">
        <v>205</v>
      </c>
      <c r="I35" s="5" t="s">
        <v>188</v>
      </c>
      <c r="J35" s="5" t="s">
        <v>189</v>
      </c>
      <c r="K35" s="5" t="s">
        <v>190</v>
      </c>
      <c r="L35" s="5" t="s">
        <v>327</v>
      </c>
      <c r="M35" s="5" t="s">
        <v>319</v>
      </c>
      <c r="N35" s="5" t="s">
        <v>90</v>
      </c>
      <c r="O35" s="5" t="s">
        <v>320</v>
      </c>
      <c r="P35" s="5" t="s">
        <v>321</v>
      </c>
      <c r="Q35" s="5" t="s">
        <v>195</v>
      </c>
    </row>
    <row r="36" spans="1:17" x14ac:dyDescent="0.2">
      <c r="A36" s="5" t="s">
        <v>328</v>
      </c>
      <c r="B36">
        <v>1</v>
      </c>
      <c r="C36" s="5" t="s">
        <v>98</v>
      </c>
      <c r="D36">
        <v>417</v>
      </c>
      <c r="E36">
        <v>435</v>
      </c>
      <c r="F36">
        <v>1</v>
      </c>
      <c r="G36" s="5" t="s">
        <v>329</v>
      </c>
      <c r="H36" s="5" t="s">
        <v>187</v>
      </c>
      <c r="I36" s="5" t="s">
        <v>188</v>
      </c>
      <c r="J36" s="5" t="s">
        <v>189</v>
      </c>
      <c r="K36" s="5" t="s">
        <v>190</v>
      </c>
      <c r="L36" s="5" t="s">
        <v>330</v>
      </c>
      <c r="M36" s="5" t="s">
        <v>331</v>
      </c>
      <c r="N36" s="5" t="s">
        <v>97</v>
      </c>
      <c r="O36" s="5" t="s">
        <v>332</v>
      </c>
      <c r="P36" s="5" t="s">
        <v>333</v>
      </c>
      <c r="Q36" s="5" t="s">
        <v>195</v>
      </c>
    </row>
    <row r="37" spans="1:17" x14ac:dyDescent="0.2">
      <c r="A37" s="5" t="s">
        <v>334</v>
      </c>
      <c r="B37">
        <v>2</v>
      </c>
      <c r="C37" s="5" t="s">
        <v>98</v>
      </c>
      <c r="D37">
        <v>575</v>
      </c>
      <c r="E37">
        <v>613</v>
      </c>
      <c r="F37">
        <v>1</v>
      </c>
      <c r="G37" s="5" t="s">
        <v>335</v>
      </c>
      <c r="H37" s="5" t="s">
        <v>209</v>
      </c>
      <c r="I37" s="5" t="s">
        <v>188</v>
      </c>
      <c r="J37" s="5" t="s">
        <v>189</v>
      </c>
      <c r="K37" s="5" t="s">
        <v>190</v>
      </c>
      <c r="L37" s="5" t="s">
        <v>336</v>
      </c>
      <c r="M37" s="5" t="s">
        <v>331</v>
      </c>
      <c r="N37" s="5" t="s">
        <v>97</v>
      </c>
      <c r="O37" s="5" t="s">
        <v>332</v>
      </c>
      <c r="P37" s="5" t="s">
        <v>333</v>
      </c>
      <c r="Q37" s="5" t="s">
        <v>195</v>
      </c>
    </row>
    <row r="38" spans="1:17" x14ac:dyDescent="0.2">
      <c r="A38" s="5" t="s">
        <v>337</v>
      </c>
      <c r="B38">
        <v>3</v>
      </c>
      <c r="C38" s="5" t="s">
        <v>98</v>
      </c>
      <c r="D38">
        <v>1715</v>
      </c>
      <c r="E38">
        <v>1733</v>
      </c>
      <c r="F38">
        <v>1</v>
      </c>
      <c r="G38" s="5" t="s">
        <v>338</v>
      </c>
      <c r="H38" s="5" t="s">
        <v>282</v>
      </c>
      <c r="I38" s="5" t="s">
        <v>188</v>
      </c>
      <c r="J38" s="5" t="s">
        <v>189</v>
      </c>
      <c r="K38" s="5" t="s">
        <v>190</v>
      </c>
      <c r="L38" s="5" t="s">
        <v>339</v>
      </c>
      <c r="M38" s="5" t="s">
        <v>331</v>
      </c>
      <c r="N38" s="5" t="s">
        <v>97</v>
      </c>
      <c r="O38" s="5" t="s">
        <v>332</v>
      </c>
      <c r="P38" s="5" t="s">
        <v>333</v>
      </c>
      <c r="Q38" s="5" t="s">
        <v>195</v>
      </c>
    </row>
    <row r="39" spans="1:17" x14ac:dyDescent="0.2">
      <c r="A39" s="5" t="s">
        <v>340</v>
      </c>
      <c r="B39">
        <v>1</v>
      </c>
      <c r="C39" s="5" t="s">
        <v>106</v>
      </c>
      <c r="D39">
        <v>1038</v>
      </c>
      <c r="E39">
        <v>1061</v>
      </c>
      <c r="F39">
        <v>1</v>
      </c>
      <c r="G39" s="5" t="s">
        <v>456</v>
      </c>
      <c r="H39" s="5" t="s">
        <v>187</v>
      </c>
      <c r="I39" s="5" t="s">
        <v>342</v>
      </c>
      <c r="J39" s="5" t="s">
        <v>189</v>
      </c>
      <c r="K39" s="5" t="s">
        <v>190</v>
      </c>
      <c r="L39" s="5" t="s">
        <v>343</v>
      </c>
      <c r="M39" s="5" t="s">
        <v>344</v>
      </c>
      <c r="N39" s="5" t="s">
        <v>105</v>
      </c>
      <c r="O39" s="5" t="s">
        <v>345</v>
      </c>
      <c r="P39" s="5" t="s">
        <v>346</v>
      </c>
      <c r="Q39" s="5" t="s">
        <v>195</v>
      </c>
    </row>
    <row r="40" spans="1:17" x14ac:dyDescent="0.2">
      <c r="A40" s="5" t="s">
        <v>347</v>
      </c>
      <c r="B40">
        <v>2</v>
      </c>
      <c r="C40" s="5" t="s">
        <v>106</v>
      </c>
      <c r="D40">
        <v>1134</v>
      </c>
      <c r="E40">
        <v>1155</v>
      </c>
      <c r="F40">
        <v>1</v>
      </c>
      <c r="G40" s="5" t="s">
        <v>348</v>
      </c>
      <c r="H40" s="5" t="s">
        <v>349</v>
      </c>
      <c r="I40" s="5" t="s">
        <v>342</v>
      </c>
      <c r="J40" s="5" t="s">
        <v>189</v>
      </c>
      <c r="K40" s="5" t="s">
        <v>190</v>
      </c>
      <c r="L40" s="5" t="s">
        <v>350</v>
      </c>
      <c r="M40" s="5" t="s">
        <v>344</v>
      </c>
      <c r="N40" s="5" t="s">
        <v>105</v>
      </c>
      <c r="O40" s="5" t="s">
        <v>345</v>
      </c>
      <c r="P40" s="5" t="s">
        <v>346</v>
      </c>
      <c r="Q40" s="5" t="s">
        <v>195</v>
      </c>
    </row>
    <row r="41" spans="1:17" x14ac:dyDescent="0.2">
      <c r="A41" s="5" t="s">
        <v>351</v>
      </c>
      <c r="B41">
        <v>1</v>
      </c>
      <c r="C41" s="5" t="s">
        <v>112</v>
      </c>
      <c r="D41">
        <v>405</v>
      </c>
      <c r="E41">
        <v>419</v>
      </c>
      <c r="F41">
        <v>1</v>
      </c>
      <c r="G41" s="5" t="s">
        <v>457</v>
      </c>
      <c r="H41" s="5" t="s">
        <v>209</v>
      </c>
      <c r="I41" s="5" t="s">
        <v>188</v>
      </c>
      <c r="J41" s="5" t="s">
        <v>189</v>
      </c>
      <c r="K41" s="5" t="s">
        <v>190</v>
      </c>
      <c r="L41" s="5" t="s">
        <v>353</v>
      </c>
      <c r="M41" s="5" t="s">
        <v>354</v>
      </c>
      <c r="N41" s="5" t="s">
        <v>111</v>
      </c>
      <c r="O41" s="5" t="s">
        <v>355</v>
      </c>
      <c r="P41" s="5" t="s">
        <v>356</v>
      </c>
      <c r="Q41" s="5" t="s">
        <v>195</v>
      </c>
    </row>
    <row r="42" spans="1:17" x14ac:dyDescent="0.2">
      <c r="A42" s="5" t="s">
        <v>357</v>
      </c>
      <c r="B42">
        <v>2</v>
      </c>
      <c r="C42" s="5" t="s">
        <v>112</v>
      </c>
      <c r="D42">
        <v>423</v>
      </c>
      <c r="E42">
        <v>441</v>
      </c>
      <c r="F42">
        <v>1</v>
      </c>
      <c r="G42" s="5" t="s">
        <v>458</v>
      </c>
      <c r="H42" s="5" t="s">
        <v>187</v>
      </c>
      <c r="I42" s="5" t="s">
        <v>188</v>
      </c>
      <c r="J42" s="5" t="s">
        <v>189</v>
      </c>
      <c r="K42" s="5" t="s">
        <v>190</v>
      </c>
      <c r="L42" s="5" t="s">
        <v>359</v>
      </c>
      <c r="M42" s="5" t="s">
        <v>354</v>
      </c>
      <c r="N42" s="5" t="s">
        <v>111</v>
      </c>
      <c r="O42" s="5" t="s">
        <v>355</v>
      </c>
      <c r="P42" s="5" t="s">
        <v>356</v>
      </c>
      <c r="Q42" s="5" t="s">
        <v>195</v>
      </c>
    </row>
    <row r="43" spans="1:17" x14ac:dyDescent="0.2">
      <c r="A43" s="5" t="s">
        <v>360</v>
      </c>
      <c r="B43">
        <v>3</v>
      </c>
      <c r="C43" s="5" t="s">
        <v>112</v>
      </c>
      <c r="D43">
        <v>1485</v>
      </c>
      <c r="E43">
        <v>1503</v>
      </c>
      <c r="F43">
        <v>1</v>
      </c>
      <c r="G43" s="5" t="s">
        <v>361</v>
      </c>
      <c r="H43" s="5" t="s">
        <v>187</v>
      </c>
      <c r="I43" s="5" t="s">
        <v>188</v>
      </c>
      <c r="J43" s="5" t="s">
        <v>189</v>
      </c>
      <c r="K43" s="5" t="s">
        <v>190</v>
      </c>
      <c r="L43" s="5" t="s">
        <v>362</v>
      </c>
      <c r="M43" s="5" t="s">
        <v>354</v>
      </c>
      <c r="N43" s="5" t="s">
        <v>111</v>
      </c>
      <c r="O43" s="5" t="s">
        <v>355</v>
      </c>
      <c r="P43" s="5" t="s">
        <v>356</v>
      </c>
      <c r="Q43" s="5" t="s">
        <v>195</v>
      </c>
    </row>
    <row r="44" spans="1:17" x14ac:dyDescent="0.2">
      <c r="A44" s="5" t="s">
        <v>363</v>
      </c>
      <c r="B44">
        <v>1</v>
      </c>
      <c r="C44" s="5" t="s">
        <v>120</v>
      </c>
      <c r="D44">
        <v>923</v>
      </c>
      <c r="E44">
        <v>947</v>
      </c>
      <c r="F44">
        <v>1</v>
      </c>
      <c r="G44" s="5" t="s">
        <v>459</v>
      </c>
      <c r="H44" s="5" t="s">
        <v>198</v>
      </c>
      <c r="I44" s="5" t="s">
        <v>188</v>
      </c>
      <c r="J44" s="5" t="s">
        <v>189</v>
      </c>
      <c r="K44" s="5" t="s">
        <v>190</v>
      </c>
      <c r="L44" s="5" t="s">
        <v>365</v>
      </c>
      <c r="M44" s="5" t="s">
        <v>366</v>
      </c>
      <c r="N44" s="5" t="s">
        <v>119</v>
      </c>
      <c r="O44" s="5" t="s">
        <v>367</v>
      </c>
      <c r="P44" s="5" t="s">
        <v>368</v>
      </c>
      <c r="Q44" s="5" t="s">
        <v>195</v>
      </c>
    </row>
    <row r="45" spans="1:17" x14ac:dyDescent="0.2">
      <c r="A45" s="5" t="s">
        <v>369</v>
      </c>
      <c r="B45">
        <v>1</v>
      </c>
      <c r="C45" s="5" t="s">
        <v>124</v>
      </c>
      <c r="D45">
        <v>385</v>
      </c>
      <c r="E45">
        <v>405</v>
      </c>
      <c r="F45">
        <v>1</v>
      </c>
      <c r="G45" s="5" t="s">
        <v>370</v>
      </c>
      <c r="H45" s="5" t="s">
        <v>187</v>
      </c>
      <c r="I45" s="5" t="s">
        <v>188</v>
      </c>
      <c r="J45" s="5" t="s">
        <v>189</v>
      </c>
      <c r="K45" s="5" t="s">
        <v>190</v>
      </c>
      <c r="L45" s="5" t="s">
        <v>372</v>
      </c>
      <c r="M45" s="5" t="s">
        <v>373</v>
      </c>
      <c r="N45" s="5" t="s">
        <v>123</v>
      </c>
      <c r="O45" s="5" t="s">
        <v>374</v>
      </c>
      <c r="P45" s="5" t="s">
        <v>375</v>
      </c>
      <c r="Q45" s="5" t="s">
        <v>195</v>
      </c>
    </row>
    <row r="46" spans="1:17" x14ac:dyDescent="0.2">
      <c r="A46" s="5" t="s">
        <v>376</v>
      </c>
      <c r="B46">
        <v>1</v>
      </c>
      <c r="C46" s="5" t="s">
        <v>128</v>
      </c>
      <c r="D46">
        <v>1424</v>
      </c>
      <c r="E46">
        <v>1460</v>
      </c>
      <c r="F46">
        <v>1</v>
      </c>
      <c r="G46" s="5" t="s">
        <v>460</v>
      </c>
      <c r="H46" s="5" t="s">
        <v>209</v>
      </c>
      <c r="I46" s="5" t="s">
        <v>342</v>
      </c>
      <c r="J46" s="5" t="s">
        <v>189</v>
      </c>
      <c r="K46" s="5" t="s">
        <v>190</v>
      </c>
      <c r="L46" s="5" t="s">
        <v>378</v>
      </c>
      <c r="M46" s="5" t="s">
        <v>379</v>
      </c>
      <c r="N46" s="5" t="s">
        <v>127</v>
      </c>
      <c r="O46" s="5" t="s">
        <v>380</v>
      </c>
      <c r="P46" s="5" t="s">
        <v>381</v>
      </c>
      <c r="Q46" s="5" t="s">
        <v>195</v>
      </c>
    </row>
    <row r="47" spans="1:17" x14ac:dyDescent="0.2">
      <c r="A47" s="5" t="s">
        <v>382</v>
      </c>
      <c r="B47">
        <v>1</v>
      </c>
      <c r="C47" s="5" t="s">
        <v>132</v>
      </c>
      <c r="D47">
        <v>1251</v>
      </c>
      <c r="E47">
        <v>1268</v>
      </c>
      <c r="F47">
        <v>1</v>
      </c>
      <c r="G47" s="5" t="s">
        <v>383</v>
      </c>
      <c r="H47" s="5" t="s">
        <v>205</v>
      </c>
      <c r="I47" s="5" t="s">
        <v>188</v>
      </c>
      <c r="J47" s="5" t="s">
        <v>189</v>
      </c>
      <c r="K47" s="5" t="s">
        <v>190</v>
      </c>
      <c r="L47" s="5" t="s">
        <v>384</v>
      </c>
      <c r="M47" s="5" t="s">
        <v>385</v>
      </c>
      <c r="N47" s="5" t="s">
        <v>131</v>
      </c>
      <c r="O47" s="5" t="s">
        <v>386</v>
      </c>
      <c r="P47" s="5" t="s">
        <v>387</v>
      </c>
      <c r="Q47" s="5" t="s">
        <v>195</v>
      </c>
    </row>
    <row r="48" spans="1:17" x14ac:dyDescent="0.2">
      <c r="A48" s="5" t="s">
        <v>388</v>
      </c>
      <c r="B48">
        <v>2</v>
      </c>
      <c r="C48" s="5" t="s">
        <v>132</v>
      </c>
      <c r="D48">
        <v>1547</v>
      </c>
      <c r="E48">
        <v>1565</v>
      </c>
      <c r="F48">
        <v>1</v>
      </c>
      <c r="G48" s="5" t="s">
        <v>461</v>
      </c>
      <c r="H48" s="5" t="s">
        <v>390</v>
      </c>
      <c r="I48" s="5" t="s">
        <v>188</v>
      </c>
      <c r="J48" s="5" t="s">
        <v>189</v>
      </c>
      <c r="K48" s="5" t="s">
        <v>190</v>
      </c>
      <c r="L48" s="5" t="s">
        <v>391</v>
      </c>
      <c r="M48" s="5" t="s">
        <v>385</v>
      </c>
      <c r="N48" s="5" t="s">
        <v>131</v>
      </c>
      <c r="O48" s="5" t="s">
        <v>386</v>
      </c>
      <c r="P48" s="5" t="s">
        <v>387</v>
      </c>
      <c r="Q48" s="5" t="s">
        <v>195</v>
      </c>
    </row>
    <row r="49" spans="1:17" x14ac:dyDescent="0.2">
      <c r="A49" s="5" t="s">
        <v>392</v>
      </c>
      <c r="B49">
        <v>1</v>
      </c>
      <c r="C49" s="5" t="s">
        <v>138</v>
      </c>
      <c r="D49">
        <v>1636</v>
      </c>
      <c r="E49">
        <v>1652</v>
      </c>
      <c r="F49">
        <v>1</v>
      </c>
      <c r="G49" s="5" t="s">
        <v>393</v>
      </c>
      <c r="H49" s="5" t="s">
        <v>187</v>
      </c>
      <c r="I49" s="5" t="s">
        <v>188</v>
      </c>
      <c r="J49" s="5" t="s">
        <v>189</v>
      </c>
      <c r="K49" s="5" t="s">
        <v>190</v>
      </c>
      <c r="L49" s="5" t="s">
        <v>394</v>
      </c>
      <c r="M49" s="5" t="s">
        <v>395</v>
      </c>
      <c r="N49" s="5" t="s">
        <v>137</v>
      </c>
      <c r="O49" s="5" t="s">
        <v>396</v>
      </c>
      <c r="P49" s="5" t="s">
        <v>397</v>
      </c>
      <c r="Q49" s="5" t="s">
        <v>195</v>
      </c>
    </row>
    <row r="50" spans="1:17" x14ac:dyDescent="0.2">
      <c r="A50" s="5" t="s">
        <v>398</v>
      </c>
      <c r="B50">
        <v>1</v>
      </c>
      <c r="C50" s="5" t="s">
        <v>142</v>
      </c>
      <c r="D50">
        <v>1255</v>
      </c>
      <c r="E50">
        <v>1275</v>
      </c>
      <c r="F50">
        <v>1</v>
      </c>
      <c r="G50" s="5" t="s">
        <v>462</v>
      </c>
      <c r="H50" s="5" t="s">
        <v>187</v>
      </c>
      <c r="I50" s="5" t="s">
        <v>342</v>
      </c>
      <c r="J50" s="5" t="s">
        <v>189</v>
      </c>
      <c r="K50" s="5" t="s">
        <v>190</v>
      </c>
      <c r="L50" s="5" t="s">
        <v>400</v>
      </c>
      <c r="M50" s="5" t="s">
        <v>401</v>
      </c>
      <c r="N50" s="5" t="s">
        <v>141</v>
      </c>
      <c r="O50" s="5" t="s">
        <v>402</v>
      </c>
      <c r="P50" s="5" t="s">
        <v>403</v>
      </c>
      <c r="Q50" s="5" t="s">
        <v>195</v>
      </c>
    </row>
    <row r="51" spans="1:17" x14ac:dyDescent="0.2">
      <c r="A51" s="5" t="s">
        <v>404</v>
      </c>
      <c r="B51">
        <v>2</v>
      </c>
      <c r="C51" s="5" t="s">
        <v>142</v>
      </c>
      <c r="D51">
        <v>1375</v>
      </c>
      <c r="E51">
        <v>1399</v>
      </c>
      <c r="F51">
        <v>1</v>
      </c>
      <c r="G51" s="5" t="s">
        <v>463</v>
      </c>
      <c r="H51" s="5" t="s">
        <v>209</v>
      </c>
      <c r="I51" s="5" t="s">
        <v>342</v>
      </c>
      <c r="J51" s="5" t="s">
        <v>189</v>
      </c>
      <c r="K51" s="5" t="s">
        <v>190</v>
      </c>
      <c r="L51" s="5" t="s">
        <v>406</v>
      </c>
      <c r="M51" s="5" t="s">
        <v>401</v>
      </c>
      <c r="N51" s="5" t="s">
        <v>141</v>
      </c>
      <c r="O51" s="5" t="s">
        <v>402</v>
      </c>
      <c r="P51" s="5" t="s">
        <v>403</v>
      </c>
      <c r="Q51" s="5" t="s">
        <v>195</v>
      </c>
    </row>
    <row r="52" spans="1:17" x14ac:dyDescent="0.2">
      <c r="A52" s="5" t="s">
        <v>407</v>
      </c>
      <c r="B52">
        <v>3</v>
      </c>
      <c r="C52" s="5" t="s">
        <v>142</v>
      </c>
      <c r="D52">
        <v>1559</v>
      </c>
      <c r="E52">
        <v>1579</v>
      </c>
      <c r="F52">
        <v>1</v>
      </c>
      <c r="G52" s="5" t="s">
        <v>408</v>
      </c>
      <c r="H52" s="5" t="s">
        <v>209</v>
      </c>
      <c r="I52" s="5" t="s">
        <v>342</v>
      </c>
      <c r="J52" s="5" t="s">
        <v>189</v>
      </c>
      <c r="K52" s="5" t="s">
        <v>190</v>
      </c>
      <c r="L52" s="5" t="s">
        <v>409</v>
      </c>
      <c r="M52" s="5" t="s">
        <v>401</v>
      </c>
      <c r="N52" s="5" t="s">
        <v>141</v>
      </c>
      <c r="O52" s="5" t="s">
        <v>402</v>
      </c>
      <c r="P52" s="5" t="s">
        <v>403</v>
      </c>
      <c r="Q52" s="5" t="s">
        <v>195</v>
      </c>
    </row>
    <row r="53" spans="1:17" x14ac:dyDescent="0.2">
      <c r="A53" s="5" t="s">
        <v>410</v>
      </c>
      <c r="B53">
        <v>4</v>
      </c>
      <c r="C53" s="5" t="s">
        <v>142</v>
      </c>
      <c r="D53">
        <v>1588</v>
      </c>
      <c r="E53">
        <v>1618</v>
      </c>
      <c r="F53">
        <v>1</v>
      </c>
      <c r="G53" s="5" t="s">
        <v>411</v>
      </c>
      <c r="H53" s="5" t="s">
        <v>349</v>
      </c>
      <c r="I53" s="5" t="s">
        <v>342</v>
      </c>
      <c r="J53" s="5" t="s">
        <v>189</v>
      </c>
      <c r="K53" s="5" t="s">
        <v>190</v>
      </c>
      <c r="L53" s="5" t="s">
        <v>412</v>
      </c>
      <c r="M53" s="5" t="s">
        <v>401</v>
      </c>
      <c r="N53" s="5" t="s">
        <v>141</v>
      </c>
      <c r="O53" s="5" t="s">
        <v>402</v>
      </c>
      <c r="P53" s="5" t="s">
        <v>403</v>
      </c>
      <c r="Q53" s="5" t="s">
        <v>195</v>
      </c>
    </row>
    <row r="54" spans="1:17" x14ac:dyDescent="0.2">
      <c r="A54" s="5" t="s">
        <v>413</v>
      </c>
      <c r="B54">
        <v>1</v>
      </c>
      <c r="C54" s="5" t="s">
        <v>152</v>
      </c>
      <c r="D54">
        <v>999</v>
      </c>
      <c r="E54">
        <v>1021</v>
      </c>
      <c r="F54">
        <v>1</v>
      </c>
      <c r="G54" s="5" t="s">
        <v>464</v>
      </c>
      <c r="H54" s="5" t="s">
        <v>209</v>
      </c>
      <c r="I54" s="5" t="s">
        <v>188</v>
      </c>
      <c r="J54" s="5" t="s">
        <v>189</v>
      </c>
      <c r="K54" s="5" t="s">
        <v>190</v>
      </c>
      <c r="L54" s="5" t="s">
        <v>415</v>
      </c>
      <c r="M54" s="5" t="s">
        <v>416</v>
      </c>
      <c r="N54" s="5" t="s">
        <v>151</v>
      </c>
      <c r="O54" s="5" t="s">
        <v>417</v>
      </c>
      <c r="P54" s="5" t="s">
        <v>418</v>
      </c>
      <c r="Q54" s="5" t="s">
        <v>195</v>
      </c>
    </row>
    <row r="55" spans="1:17" x14ac:dyDescent="0.2">
      <c r="A55" s="5" t="s">
        <v>419</v>
      </c>
      <c r="B55">
        <v>2</v>
      </c>
      <c r="C55" s="5" t="s">
        <v>152</v>
      </c>
      <c r="D55">
        <v>1153</v>
      </c>
      <c r="E55">
        <v>1181</v>
      </c>
      <c r="F55">
        <v>1</v>
      </c>
      <c r="G55" s="5" t="s">
        <v>465</v>
      </c>
      <c r="H55" s="5" t="s">
        <v>187</v>
      </c>
      <c r="I55" s="5" t="s">
        <v>188</v>
      </c>
      <c r="J55" s="5" t="s">
        <v>189</v>
      </c>
      <c r="K55" s="5" t="s">
        <v>190</v>
      </c>
      <c r="L55" s="5" t="s">
        <v>421</v>
      </c>
      <c r="M55" s="5" t="s">
        <v>416</v>
      </c>
      <c r="N55" s="5" t="s">
        <v>151</v>
      </c>
      <c r="O55" s="5" t="s">
        <v>417</v>
      </c>
      <c r="P55" s="5" t="s">
        <v>418</v>
      </c>
      <c r="Q55" s="5" t="s">
        <v>195</v>
      </c>
    </row>
    <row r="56" spans="1:17" x14ac:dyDescent="0.2">
      <c r="A56" s="5" t="s">
        <v>422</v>
      </c>
      <c r="B56">
        <v>3</v>
      </c>
      <c r="C56" s="5" t="s">
        <v>152</v>
      </c>
      <c r="D56">
        <v>1213</v>
      </c>
      <c r="E56">
        <v>1239</v>
      </c>
      <c r="F56">
        <v>1</v>
      </c>
      <c r="G56" s="5" t="s">
        <v>423</v>
      </c>
      <c r="H56" s="5" t="s">
        <v>209</v>
      </c>
      <c r="I56" s="5" t="s">
        <v>188</v>
      </c>
      <c r="J56" s="5" t="s">
        <v>189</v>
      </c>
      <c r="K56" s="5" t="s">
        <v>190</v>
      </c>
      <c r="L56" s="5" t="s">
        <v>424</v>
      </c>
      <c r="M56" s="5" t="s">
        <v>416</v>
      </c>
      <c r="N56" s="5" t="s">
        <v>151</v>
      </c>
      <c r="O56" s="5" t="s">
        <v>417</v>
      </c>
      <c r="P56" s="5" t="s">
        <v>418</v>
      </c>
      <c r="Q56" s="5" t="s">
        <v>195</v>
      </c>
    </row>
    <row r="57" spans="1:17" x14ac:dyDescent="0.2">
      <c r="A57" s="5" t="s">
        <v>425</v>
      </c>
      <c r="B57">
        <v>4</v>
      </c>
      <c r="C57" s="5" t="s">
        <v>152</v>
      </c>
      <c r="D57">
        <v>1528</v>
      </c>
      <c r="E57">
        <v>1547</v>
      </c>
      <c r="F57">
        <v>1</v>
      </c>
      <c r="G57" s="5" t="s">
        <v>426</v>
      </c>
      <c r="H57" s="5" t="s">
        <v>390</v>
      </c>
      <c r="I57" s="5" t="s">
        <v>188</v>
      </c>
      <c r="J57" s="5" t="s">
        <v>189</v>
      </c>
      <c r="K57" s="5" t="s">
        <v>190</v>
      </c>
      <c r="L57" s="5" t="s">
        <v>427</v>
      </c>
      <c r="M57" s="5" t="s">
        <v>416</v>
      </c>
      <c r="N57" s="5" t="s">
        <v>151</v>
      </c>
      <c r="O57" s="5" t="s">
        <v>417</v>
      </c>
      <c r="P57" s="5" t="s">
        <v>418</v>
      </c>
      <c r="Q57" s="5" t="s">
        <v>195</v>
      </c>
    </row>
    <row r="58" spans="1:17" x14ac:dyDescent="0.2">
      <c r="A58" s="5" t="s">
        <v>428</v>
      </c>
      <c r="B58">
        <v>5</v>
      </c>
      <c r="C58" s="5" t="s">
        <v>152</v>
      </c>
      <c r="D58">
        <v>1730</v>
      </c>
      <c r="E58">
        <v>1769</v>
      </c>
      <c r="F58">
        <v>1</v>
      </c>
      <c r="G58" s="5" t="s">
        <v>429</v>
      </c>
      <c r="H58" s="5" t="s">
        <v>209</v>
      </c>
      <c r="I58" s="5" t="s">
        <v>188</v>
      </c>
      <c r="J58" s="5" t="s">
        <v>189</v>
      </c>
      <c r="K58" s="5" t="s">
        <v>190</v>
      </c>
      <c r="L58" s="5" t="s">
        <v>430</v>
      </c>
      <c r="M58" s="5" t="s">
        <v>416</v>
      </c>
      <c r="N58" s="5" t="s">
        <v>151</v>
      </c>
      <c r="O58" s="5" t="s">
        <v>417</v>
      </c>
      <c r="P58" s="5" t="s">
        <v>418</v>
      </c>
      <c r="Q58" s="5" t="s">
        <v>195</v>
      </c>
    </row>
    <row r="59" spans="1:17" x14ac:dyDescent="0.2">
      <c r="A59" s="5" t="s">
        <v>431</v>
      </c>
      <c r="B59">
        <v>6</v>
      </c>
      <c r="C59" s="5" t="s">
        <v>152</v>
      </c>
      <c r="D59">
        <v>1781</v>
      </c>
      <c r="E59">
        <v>1816</v>
      </c>
      <c r="F59">
        <v>1</v>
      </c>
      <c r="G59" s="5" t="s">
        <v>466</v>
      </c>
      <c r="H59" s="5" t="s">
        <v>390</v>
      </c>
      <c r="I59" s="5" t="s">
        <v>188</v>
      </c>
      <c r="J59" s="5" t="s">
        <v>189</v>
      </c>
      <c r="K59" s="5" t="s">
        <v>190</v>
      </c>
      <c r="L59" s="5" t="s">
        <v>433</v>
      </c>
      <c r="M59" s="5" t="s">
        <v>416</v>
      </c>
      <c r="N59" s="5" t="s">
        <v>151</v>
      </c>
      <c r="O59" s="5" t="s">
        <v>417</v>
      </c>
      <c r="P59" s="5" t="s">
        <v>418</v>
      </c>
      <c r="Q59" s="5" t="s">
        <v>195</v>
      </c>
    </row>
    <row r="60" spans="1:17" x14ac:dyDescent="0.2">
      <c r="A60" s="5" t="s">
        <v>434</v>
      </c>
      <c r="B60">
        <v>7</v>
      </c>
      <c r="C60" s="5" t="s">
        <v>152</v>
      </c>
      <c r="D60">
        <v>1817</v>
      </c>
      <c r="E60">
        <v>1831</v>
      </c>
      <c r="F60">
        <v>1</v>
      </c>
      <c r="G60" s="5" t="s">
        <v>467</v>
      </c>
      <c r="H60" s="5" t="s">
        <v>390</v>
      </c>
      <c r="I60" s="5" t="s">
        <v>188</v>
      </c>
      <c r="J60" s="5" t="s">
        <v>189</v>
      </c>
      <c r="K60" s="5" t="s">
        <v>190</v>
      </c>
      <c r="L60" s="5" t="s">
        <v>436</v>
      </c>
      <c r="M60" s="5" t="s">
        <v>416</v>
      </c>
      <c r="N60" s="5" t="s">
        <v>151</v>
      </c>
      <c r="O60" s="5" t="s">
        <v>417</v>
      </c>
      <c r="P60" s="5" t="s">
        <v>418</v>
      </c>
      <c r="Q60" s="5" t="s">
        <v>195</v>
      </c>
    </row>
    <row r="61" spans="1:17" x14ac:dyDescent="0.2">
      <c r="A61" s="5" t="s">
        <v>437</v>
      </c>
      <c r="B61">
        <v>8</v>
      </c>
      <c r="C61" s="5" t="s">
        <v>152</v>
      </c>
      <c r="D61">
        <v>1907</v>
      </c>
      <c r="E61">
        <v>1919</v>
      </c>
      <c r="F61">
        <v>1</v>
      </c>
      <c r="G61" s="5" t="s">
        <v>468</v>
      </c>
      <c r="H61" s="5" t="s">
        <v>187</v>
      </c>
      <c r="I61" s="5" t="s">
        <v>188</v>
      </c>
      <c r="J61" s="5" t="s">
        <v>189</v>
      </c>
      <c r="K61" s="5" t="s">
        <v>190</v>
      </c>
      <c r="L61" s="5" t="s">
        <v>439</v>
      </c>
      <c r="M61" s="5" t="s">
        <v>416</v>
      </c>
      <c r="N61" s="5" t="s">
        <v>151</v>
      </c>
      <c r="O61" s="5" t="s">
        <v>417</v>
      </c>
      <c r="P61" s="5" t="s">
        <v>418</v>
      </c>
      <c r="Q61" s="5" t="s">
        <v>195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22CB-9258-894C-A798-32B327FE1054}">
  <dimension ref="A1:N28"/>
  <sheetViews>
    <sheetView tabSelected="1" workbookViewId="0">
      <selection activeCell="A33" sqref="A33"/>
    </sheetView>
  </sheetViews>
  <sheetFormatPr baseColWidth="10" defaultRowHeight="16" x14ac:dyDescent="0.2"/>
  <cols>
    <col min="1" max="1" width="39.5" customWidth="1"/>
    <col min="2" max="2" width="15.1640625" customWidth="1"/>
    <col min="4" max="4" width="9.83203125" customWidth="1"/>
    <col min="9" max="9" width="18" bestFit="1" customWidth="1"/>
    <col min="10" max="10" width="7.5" bestFit="1" customWidth="1"/>
    <col min="11" max="11" width="12.83203125" bestFit="1" customWidth="1"/>
    <col min="12" max="12" width="14.5" customWidth="1"/>
    <col min="13" max="13" width="23.5" customWidth="1"/>
    <col min="14" max="14" width="28" customWidth="1"/>
  </cols>
  <sheetData>
    <row r="1" spans="1:14" x14ac:dyDescent="0.2">
      <c r="I1" t="s">
        <v>486</v>
      </c>
      <c r="J1" t="s">
        <v>480</v>
      </c>
      <c r="K1" t="s">
        <v>481</v>
      </c>
      <c r="L1" t="s">
        <v>482</v>
      </c>
      <c r="M1" t="s">
        <v>483</v>
      </c>
      <c r="N1" t="s">
        <v>484</v>
      </c>
    </row>
    <row r="2" spans="1:14" x14ac:dyDescent="0.2">
      <c r="A2" t="s">
        <v>488</v>
      </c>
      <c r="B2">
        <v>60</v>
      </c>
      <c r="I2" t="s">
        <v>469</v>
      </c>
      <c r="J2">
        <v>18</v>
      </c>
      <c r="K2">
        <v>19</v>
      </c>
      <c r="L2" s="6">
        <f>J2/$B$2</f>
        <v>0.3</v>
      </c>
      <c r="M2" s="6">
        <f>K2/$B$2</f>
        <v>0.31666666666666665</v>
      </c>
      <c r="N2" s="6">
        <f>L2*M2</f>
        <v>9.4999999999999987E-2</v>
      </c>
    </row>
    <row r="3" spans="1:14" x14ac:dyDescent="0.2">
      <c r="A3" t="s">
        <v>489</v>
      </c>
      <c r="B3">
        <v>52</v>
      </c>
      <c r="I3" t="s">
        <v>470</v>
      </c>
      <c r="J3">
        <v>17</v>
      </c>
      <c r="K3">
        <v>19</v>
      </c>
      <c r="L3" s="6">
        <f>J3/$B$2</f>
        <v>0.28333333333333333</v>
      </c>
      <c r="M3" s="6">
        <f>K3/$B$2</f>
        <v>0.31666666666666665</v>
      </c>
      <c r="N3" s="6">
        <f t="shared" ref="N3:N12" si="0">L3*M3</f>
        <v>8.9722222222222217E-2</v>
      </c>
    </row>
    <row r="4" spans="1:14" x14ac:dyDescent="0.2">
      <c r="A4" t="s">
        <v>490</v>
      </c>
      <c r="B4" s="6">
        <f>B3/B2</f>
        <v>0.8666666666666667</v>
      </c>
      <c r="D4" s="9" t="s">
        <v>485</v>
      </c>
      <c r="I4" t="s">
        <v>471</v>
      </c>
      <c r="J4">
        <v>11</v>
      </c>
      <c r="K4">
        <v>8</v>
      </c>
      <c r="L4" s="6">
        <f>J4/$B$2</f>
        <v>0.18333333333333332</v>
      </c>
      <c r="M4" s="6">
        <f>K4/$B$2</f>
        <v>0.13333333333333333</v>
      </c>
      <c r="N4" s="6">
        <f t="shared" si="0"/>
        <v>2.4444444444444442E-2</v>
      </c>
    </row>
    <row r="5" spans="1:14" x14ac:dyDescent="0.2">
      <c r="A5" t="s">
        <v>491</v>
      </c>
      <c r="B5" s="6">
        <f>Table8[[#Totals],[contribution = p_ai × p_manual]]</f>
        <v>0.21944444444444441</v>
      </c>
      <c r="I5" t="s">
        <v>472</v>
      </c>
      <c r="J5">
        <v>4</v>
      </c>
      <c r="K5">
        <v>5</v>
      </c>
      <c r="L5" s="6">
        <f>J5/$B$2</f>
        <v>6.6666666666666666E-2</v>
      </c>
      <c r="M5" s="6">
        <f>K5/$B$2</f>
        <v>8.3333333333333329E-2</v>
      </c>
      <c r="N5" s="6">
        <f t="shared" si="0"/>
        <v>5.5555555555555549E-3</v>
      </c>
    </row>
    <row r="6" spans="1:14" x14ac:dyDescent="0.2">
      <c r="A6" t="s">
        <v>492</v>
      </c>
      <c r="B6" s="6">
        <f>(B4-B5)/(1-B5)</f>
        <v>0.8291814946619217</v>
      </c>
      <c r="I6" t="s">
        <v>473</v>
      </c>
      <c r="J6">
        <v>2</v>
      </c>
      <c r="K6">
        <v>4</v>
      </c>
      <c r="L6" s="6">
        <f>J6/$B$2</f>
        <v>3.3333333333333333E-2</v>
      </c>
      <c r="M6" s="6">
        <f>K6/$B$2</f>
        <v>6.6666666666666666E-2</v>
      </c>
      <c r="N6" s="6">
        <f t="shared" si="0"/>
        <v>2.2222222222222222E-3</v>
      </c>
    </row>
    <row r="7" spans="1:14" x14ac:dyDescent="0.2">
      <c r="I7" t="s">
        <v>474</v>
      </c>
      <c r="J7">
        <v>2</v>
      </c>
      <c r="K7">
        <v>2</v>
      </c>
      <c r="L7" s="6">
        <f>J7/$B$2</f>
        <v>3.3333333333333333E-2</v>
      </c>
      <c r="M7" s="6">
        <f>K7/$B$2</f>
        <v>3.3333333333333333E-2</v>
      </c>
      <c r="N7" s="6">
        <f t="shared" si="0"/>
        <v>1.1111111111111111E-3</v>
      </c>
    </row>
    <row r="8" spans="1:14" x14ac:dyDescent="0.2">
      <c r="I8" t="s">
        <v>475</v>
      </c>
      <c r="J8">
        <v>2</v>
      </c>
      <c r="K8">
        <v>2</v>
      </c>
      <c r="L8" s="6">
        <f>J8/$B$2</f>
        <v>3.3333333333333333E-2</v>
      </c>
      <c r="M8" s="6">
        <f>K8/$B$2</f>
        <v>3.3333333333333333E-2</v>
      </c>
      <c r="N8" s="6">
        <f t="shared" si="0"/>
        <v>1.1111111111111111E-3</v>
      </c>
    </row>
    <row r="9" spans="1:14" x14ac:dyDescent="0.2">
      <c r="I9" t="s">
        <v>476</v>
      </c>
      <c r="J9">
        <v>1</v>
      </c>
      <c r="K9">
        <v>1</v>
      </c>
      <c r="L9" s="6">
        <f>J9/$B$2</f>
        <v>1.6666666666666666E-2</v>
      </c>
      <c r="M9" s="6">
        <f>K9/$B$2</f>
        <v>1.6666666666666666E-2</v>
      </c>
      <c r="N9" s="6">
        <f t="shared" si="0"/>
        <v>2.7777777777777778E-4</v>
      </c>
    </row>
    <row r="10" spans="1:14" x14ac:dyDescent="0.2">
      <c r="A10" t="s">
        <v>488</v>
      </c>
      <c r="B10">
        <v>60</v>
      </c>
      <c r="I10" t="s">
        <v>477</v>
      </c>
      <c r="J10">
        <v>1</v>
      </c>
      <c r="K10">
        <v>0</v>
      </c>
      <c r="L10" s="6">
        <f>J10/$B$2</f>
        <v>1.6666666666666666E-2</v>
      </c>
      <c r="M10" s="6">
        <f>K10/$B$2</f>
        <v>0</v>
      </c>
      <c r="N10" s="6">
        <f t="shared" si="0"/>
        <v>0</v>
      </c>
    </row>
    <row r="11" spans="1:14" x14ac:dyDescent="0.2">
      <c r="A11" t="s">
        <v>493</v>
      </c>
      <c r="B11">
        <v>31</v>
      </c>
      <c r="I11" t="s">
        <v>478</v>
      </c>
      <c r="J11">
        <v>1</v>
      </c>
      <c r="K11">
        <v>0</v>
      </c>
      <c r="L11" s="6">
        <f>J11/$B$2</f>
        <v>1.6666666666666666E-2</v>
      </c>
      <c r="M11" s="6">
        <f>K11/$B$2</f>
        <v>0</v>
      </c>
      <c r="N11" s="6">
        <f t="shared" si="0"/>
        <v>0</v>
      </c>
    </row>
    <row r="12" spans="1:14" x14ac:dyDescent="0.2">
      <c r="A12" t="s">
        <v>494</v>
      </c>
      <c r="B12" s="6">
        <f>B11/B10</f>
        <v>0.51666666666666672</v>
      </c>
      <c r="I12" t="s">
        <v>479</v>
      </c>
      <c r="J12">
        <v>1</v>
      </c>
      <c r="K12">
        <v>0</v>
      </c>
      <c r="L12" s="6">
        <f>J12/$B$2</f>
        <v>1.6666666666666666E-2</v>
      </c>
      <c r="M12" s="6">
        <f>K12/$B$2</f>
        <v>0</v>
      </c>
      <c r="N12" s="6">
        <f t="shared" si="0"/>
        <v>0</v>
      </c>
    </row>
    <row r="13" spans="1:14" x14ac:dyDescent="0.2">
      <c r="A13" t="s">
        <v>495</v>
      </c>
      <c r="B13" s="8">
        <v>3047</v>
      </c>
      <c r="L13" s="6"/>
      <c r="M13" s="6"/>
      <c r="N13" s="6"/>
    </row>
    <row r="14" spans="1:14" x14ac:dyDescent="0.2">
      <c r="A14" t="s">
        <v>496</v>
      </c>
      <c r="B14" s="8">
        <v>3047</v>
      </c>
      <c r="I14" t="s">
        <v>487</v>
      </c>
      <c r="N14" s="6">
        <f>SUBTOTAL(109,Table8[contribution = p_ai × p_manual])</f>
        <v>0.21944444444444441</v>
      </c>
    </row>
    <row r="15" spans="1:14" x14ac:dyDescent="0.2">
      <c r="A15" t="s">
        <v>497</v>
      </c>
      <c r="B15">
        <v>2934</v>
      </c>
    </row>
    <row r="16" spans="1:14" x14ac:dyDescent="0.2">
      <c r="A16" t="s">
        <v>501</v>
      </c>
      <c r="B16">
        <v>0</v>
      </c>
    </row>
    <row r="17" spans="1:2" x14ac:dyDescent="0.2">
      <c r="A17" t="s">
        <v>502</v>
      </c>
      <c r="B17">
        <v>0</v>
      </c>
    </row>
    <row r="18" spans="1:2" x14ac:dyDescent="0.2">
      <c r="A18" t="s">
        <v>498</v>
      </c>
      <c r="B18">
        <v>113</v>
      </c>
    </row>
    <row r="19" spans="1:2" x14ac:dyDescent="0.2">
      <c r="A19" t="s">
        <v>499</v>
      </c>
      <c r="B19" s="6">
        <f>B15/B13</f>
        <v>0.96291434197571379</v>
      </c>
    </row>
    <row r="20" spans="1:2" x14ac:dyDescent="0.2">
      <c r="A20" t="s">
        <v>500</v>
      </c>
      <c r="B20" s="6">
        <f>(B16+B17+B18)/B14</f>
        <v>3.7085658024286185E-2</v>
      </c>
    </row>
    <row r="24" spans="1:2" x14ac:dyDescent="0.2">
      <c r="A24" t="s">
        <v>503</v>
      </c>
      <c r="B24">
        <v>9953</v>
      </c>
    </row>
    <row r="25" spans="1:2" x14ac:dyDescent="0.2">
      <c r="A25" t="s">
        <v>504</v>
      </c>
      <c r="B25">
        <v>4905</v>
      </c>
    </row>
    <row r="26" spans="1:2" x14ac:dyDescent="0.2">
      <c r="A26" t="s">
        <v>505</v>
      </c>
      <c r="B26">
        <f>B24-B25</f>
        <v>5048</v>
      </c>
    </row>
    <row r="27" spans="1:2" x14ac:dyDescent="0.2">
      <c r="A27" t="s">
        <v>506</v>
      </c>
      <c r="B27" s="6">
        <f>B26/B24</f>
        <v>0.50718376368933993</v>
      </c>
    </row>
    <row r="28" spans="1:2" x14ac:dyDescent="0.2">
      <c r="A28" t="s">
        <v>507</v>
      </c>
      <c r="B28" s="7">
        <f>B24/B25</f>
        <v>2.0291539245667685</v>
      </c>
    </row>
  </sheetData>
  <pageMargins left="0.7" right="0.7" top="0.75" bottom="0.75" header="0.3" footer="0.3"/>
  <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1C655-1AE6-1B4D-A972-557CEB60E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VideoSources</vt:lpstr>
      <vt:lpstr>SystemOriginalDataset</vt:lpstr>
      <vt:lpstr>Human-Reviewed</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Duy</dc:creator>
  <cp:lastModifiedBy>Hoang Duy</cp:lastModifiedBy>
  <dcterms:created xsi:type="dcterms:W3CDTF">2026-10-17T12:53:07Z</dcterms:created>
  <dcterms:modified xsi:type="dcterms:W3CDTF">2026-10-18T07:57:00Z</dcterms:modified>
</cp:coreProperties>
</file>